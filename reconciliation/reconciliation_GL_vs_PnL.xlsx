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Map_Entites" sheetId="2" state="visible" r:id="rId2"/>
    <sheet name="Map_Postes" sheetId="3" state="visible" r:id="rId3"/>
    <sheet name="GL_source" sheetId="4" state="visible" r:id="rId4"/>
    <sheet name="GL_retraite" sheetId="5" state="visible" r:id="rId5"/>
    <sheet name="PnL_cible" sheetId="6" state="visible" r:id="rId6"/>
    <sheet name="Bridge_entite" sheetId="7" state="visible" r:id="rId7"/>
    <sheet name="Bridge_conso" sheetId="8" state="visible" r:id="rId8"/>
    <sheet name="Eca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164" fontId="1" fillId="4" borderId="0" pivotButton="0" quotePrefix="0" xfId="0"/>
    <xf numFmtId="164" fontId="0" fillId="3" borderId="1" pivotButton="0" quotePrefix="0" xfId="0"/>
    <xf numFmtId="164" fontId="1" fillId="4" borderId="1" pivotButton="0" quotePrefix="0" xfId="0"/>
    <xf numFmtId="164" fontId="0" fillId="0" borderId="0" pivotButton="0" quotePrefix="0" xfId="0"/>
    <xf numFmtId="165" fontId="0" fillId="0" borderId="1" pivotButton="0" quotePrefix="0" xfId="0"/>
    <xf numFmtId="164" fontId="1" fillId="0" borderId="0" pivotButton="0" quotePrefix="0" xfId="0"/>
    <xf numFmtId="164" fontId="0" fillId="5" borderId="0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RAPPROCHEMENT GRAND LIVRE -&gt; P&amp;L CONSOLIDE</t>
        </is>
      </c>
    </row>
    <row r="2">
      <c r="A2" t="inlineStr"/>
    </row>
    <row r="3">
      <c r="A3" t="inlineStr">
        <is>
          <t>Source de verite : P&amp;L par destination (onglet CB035-C). Le GL est par nature x entite.</t>
        </is>
      </c>
    </row>
    <row r="4">
      <c r="A4" t="inlineStr">
        <is>
          <t>Le rapprochement porte sur les CHARGES + IS uniquement (le GL n'a pas de chiffre d'affaires).</t>
        </is>
      </c>
    </row>
    <row r="5">
      <c r="A5" t="inlineStr"/>
    </row>
    <row r="6">
      <c r="A6" s="2" t="inlineStr">
        <is>
          <t>Onglets :</t>
        </is>
      </c>
    </row>
    <row r="7">
      <c r="A7" t="inlineStr">
        <is>
          <t xml:space="preserve">  Map_Entites   : table de mapping entite GL -&gt; entite P&amp;L (traceur = Charges de personnel)</t>
        </is>
      </c>
    </row>
    <row r="8">
      <c r="A8" t="inlineStr">
        <is>
          <t xml:space="preserve">  Map_Postes    : table de mapping poste GL -&gt; ligne P&amp;L (editable, recharger pour relancer)</t>
        </is>
      </c>
    </row>
    <row r="9">
      <c r="A9" t="inlineStr">
        <is>
          <t xml:space="preserve">  GL_source     : grand livre parse + ligne P&amp;L mappee par VLOOKUP (col H) = base tracable</t>
        </is>
      </c>
    </row>
    <row r="10">
      <c r="A10" t="inlineStr">
        <is>
          <t xml:space="preserve">  GL_retraite   : GL agrege au format des lignes P&amp;L, par entite (SUMIF sur GL_source)</t>
        </is>
      </c>
    </row>
    <row r="11">
      <c r="A11" t="inlineStr">
        <is>
          <t xml:space="preserve">  PnL_cible     : valeurs cibles lues dans CB035-C</t>
        </is>
      </c>
    </row>
    <row r="12">
      <c r="A12" t="inlineStr">
        <is>
          <t xml:space="preserve">  Bridge_entite : GL recalcule vs P&amp;L cible, ecart EUR et %, par entite</t>
        </is>
      </c>
    </row>
    <row r="13">
      <c r="A13" t="inlineStr">
        <is>
          <t xml:space="preserve">  Bridge_conso  : bridge consolide (somme des 5 entites mappees)</t>
        </is>
      </c>
    </row>
    <row r="14">
      <c r="A14" t="inlineStr">
        <is>
          <t xml:space="preserve">  Ecarts        : ecarts &gt; seuil avec explication (MAPPING vs DONNEES)</t>
        </is>
      </c>
    </row>
    <row r="15">
      <c r="A15" t="inlineStr"/>
    </row>
    <row r="16">
      <c r="A16" t="inlineStr">
        <is>
          <t>Tous les montants du bridge sont des FORMULES Excel tracables jusqu'aux postes GL (GL_source).</t>
        </is>
      </c>
    </row>
    <row r="17">
      <c r="A17" t="inlineStr">
        <is>
          <t>KCOLD est l'entite ORPHELINE (aucune contrepartie P&amp;L) : isolee, non incluse dans le consolide.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70" customWidth="1" min="3" max="3"/>
  </cols>
  <sheetData>
    <row r="1">
      <c r="A1" s="3" t="inlineStr">
        <is>
          <t>entite_GL</t>
        </is>
      </c>
      <c r="B1" s="3" t="inlineStr">
        <is>
          <t>entite_PnL</t>
        </is>
      </c>
      <c r="C1" s="3" t="inlineStr">
        <is>
          <t>justification (traceur Charges de personnel)</t>
        </is>
      </c>
    </row>
    <row r="2">
      <c r="A2" s="4" t="inlineStr">
        <is>
          <t>H2R</t>
        </is>
      </c>
      <c r="B2" s="4" t="inlineStr">
        <is>
          <t>SARL H2R</t>
        </is>
      </c>
      <c r="C2" s="4" t="inlineStr">
        <is>
          <t>traceur personnel: -34944 vs -35546 (-1.7%)</t>
        </is>
      </c>
    </row>
    <row r="3">
      <c r="A3" s="4" t="inlineStr">
        <is>
          <t>ALLIANCE</t>
        </is>
      </c>
      <c r="B3" s="4" t="inlineStr">
        <is>
          <t>SAS GROUPE RIVALIS</t>
        </is>
      </c>
      <c r="C3" s="4" t="inlineStr">
        <is>
          <t>traceur personnel: -252782 vs -238132 (6.2%) - seul appariement restant</t>
        </is>
      </c>
    </row>
    <row r="4">
      <c r="A4" s="4" t="inlineStr">
        <is>
          <t>BM EST</t>
        </is>
      </c>
      <c r="B4" s="4" t="inlineStr">
        <is>
          <t>SARL BM EST</t>
        </is>
      </c>
      <c r="C4" s="4" t="inlineStr">
        <is>
          <t>traceur personnel: -2481037 vs -2516306 (-1.4%)</t>
        </is>
      </c>
    </row>
    <row r="5">
      <c r="A5" s="5" t="inlineStr">
        <is>
          <t>KCOLD</t>
        </is>
      </c>
      <c r="B5" s="5" t="inlineStr">
        <is>
          <t>ORPHELIN</t>
        </is>
      </c>
      <c r="C5" s="5" t="inlineStr">
        <is>
          <t>aucune contrepartie P&amp;L: 0 personnel, pas de CA, total -22057</t>
        </is>
      </c>
    </row>
    <row r="6">
      <c r="A6" s="4" t="inlineStr">
        <is>
          <t>RIVAGROUPE</t>
        </is>
      </c>
      <c r="B6" s="4" t="inlineStr">
        <is>
          <t>RIVAGROUPE SAS</t>
        </is>
      </c>
      <c r="C6" s="4" t="inlineStr">
        <is>
          <t>traceur personnel: -219277 vs -221792 (-1.1%)</t>
        </is>
      </c>
    </row>
    <row r="7">
      <c r="A7" s="4" t="inlineStr">
        <is>
          <t>VALPOLIS</t>
        </is>
      </c>
      <c r="B7" s="4" t="inlineStr">
        <is>
          <t>SARL VALPOLIS</t>
        </is>
      </c>
      <c r="C7" s="4" t="inlineStr">
        <is>
          <t>traceur personnel: -360393 vs -359684 (0.2%)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55" customWidth="1" min="3" max="3"/>
  </cols>
  <sheetData>
    <row r="1">
      <c r="A1" s="3" t="inlineStr">
        <is>
          <t>poste_GL</t>
        </is>
      </c>
      <c r="B1" s="3" t="inlineStr">
        <is>
          <t>ligne_PnL</t>
        </is>
      </c>
      <c r="C1" s="3" t="inlineStr">
        <is>
          <t>note</t>
        </is>
      </c>
    </row>
    <row r="2">
      <c r="A2" s="4" t="inlineStr">
        <is>
          <t>Sous-traitance &amp; prestations externes</t>
        </is>
      </c>
      <c r="B2" s="4" t="inlineStr">
        <is>
          <t>Charges externes</t>
        </is>
      </c>
      <c r="C2" s="4" t="inlineStr"/>
    </row>
    <row r="3">
      <c r="A3" s="4" t="inlineStr">
        <is>
          <t>Fournitures &amp; petit équipement</t>
        </is>
      </c>
      <c r="B3" s="4" t="inlineStr">
        <is>
          <t>Achats consommés</t>
        </is>
      </c>
      <c r="C3" s="4" t="inlineStr">
        <is>
          <t>PCG: achats non stockés -&gt; Achats consommés</t>
        </is>
      </c>
    </row>
    <row r="4">
      <c r="A4" s="4" t="inlineStr">
        <is>
          <t>Énergie, eau &amp; carburants</t>
        </is>
      </c>
      <c r="B4" s="4" t="inlineStr">
        <is>
          <t>Achats consommés</t>
        </is>
      </c>
      <c r="C4" s="4" t="inlineStr">
        <is>
          <t>PCG: achats non stockés -&gt; Achats consommés</t>
        </is>
      </c>
    </row>
    <row r="5">
      <c r="A5" s="4" t="inlineStr">
        <is>
          <t>Logiciels, IT &amp; hébergement</t>
        </is>
      </c>
      <c r="B5" s="4" t="inlineStr">
        <is>
          <t>Charges externes</t>
        </is>
      </c>
      <c r="C5" s="4" t="inlineStr"/>
    </row>
    <row r="6">
      <c r="A6" s="4" t="inlineStr">
        <is>
          <t>Achats de marchandises</t>
        </is>
      </c>
      <c r="B6" s="4" t="inlineStr">
        <is>
          <t>Achats consommés</t>
        </is>
      </c>
      <c r="C6" s="4" t="inlineStr"/>
    </row>
    <row r="7">
      <c r="A7" s="4" t="inlineStr">
        <is>
          <t>Management fees / intra-groupe</t>
        </is>
      </c>
      <c r="B7" s="4" t="inlineStr">
        <is>
          <t>Opérations d'exploitation Intra-Groupe</t>
        </is>
      </c>
      <c r="C7" s="4" t="inlineStr">
        <is>
          <t>intra-groupe: net à 0 en consolidé</t>
        </is>
      </c>
    </row>
    <row r="8">
      <c r="A8" s="4" t="inlineStr">
        <is>
          <t>Formation</t>
        </is>
      </c>
      <c r="B8" s="4" t="inlineStr">
        <is>
          <t>Charges externes</t>
        </is>
      </c>
      <c r="C8" s="4" t="inlineStr"/>
    </row>
    <row r="9">
      <c r="A9" s="4" t="inlineStr">
        <is>
          <t>Recrutement</t>
        </is>
      </c>
      <c r="B9" s="4" t="inlineStr">
        <is>
          <t>Charges externes</t>
        </is>
      </c>
      <c r="C9" s="4" t="inlineStr"/>
    </row>
    <row r="10">
      <c r="A10" s="4" t="inlineStr">
        <is>
          <t>Prestations conseillers TPE</t>
        </is>
      </c>
      <c r="B10" s="4" t="inlineStr">
        <is>
          <t>Charges externes</t>
        </is>
      </c>
      <c r="C10" s="4" t="inlineStr"/>
    </row>
    <row r="11">
      <c r="A11" s="4" t="inlineStr">
        <is>
          <t>Locations &amp; crédit-bail</t>
        </is>
      </c>
      <c r="B11" s="4" t="inlineStr">
        <is>
          <t>Charges externes</t>
        </is>
      </c>
      <c r="C11" s="4" t="inlineStr"/>
    </row>
    <row r="12">
      <c r="A12" s="4" t="inlineStr">
        <is>
          <t>Entretien &amp; maintenance</t>
        </is>
      </c>
      <c r="B12" s="4" t="inlineStr">
        <is>
          <t>Charges externes</t>
        </is>
      </c>
      <c r="C12" s="4" t="inlineStr"/>
    </row>
    <row r="13">
      <c r="A13" s="4" t="inlineStr">
        <is>
          <t>Assurances</t>
        </is>
      </c>
      <c r="B13" s="4" t="inlineStr">
        <is>
          <t>Charges externes</t>
        </is>
      </c>
      <c r="C13" s="4" t="inlineStr"/>
    </row>
    <row r="14">
      <c r="A14" s="4" t="inlineStr">
        <is>
          <t>Documentation &amp; cotisations</t>
        </is>
      </c>
      <c r="B14" s="4" t="inlineStr">
        <is>
          <t>Charges externes</t>
        </is>
      </c>
      <c r="C14" s="4" t="inlineStr"/>
    </row>
    <row r="15">
      <c r="A15" s="4" t="inlineStr">
        <is>
          <t>Honoraires</t>
        </is>
      </c>
      <c r="B15" s="4" t="inlineStr">
        <is>
          <t>Charges externes</t>
        </is>
      </c>
      <c r="C15" s="4" t="inlineStr"/>
    </row>
    <row r="16">
      <c r="A16" s="4" t="inlineStr">
        <is>
          <t>Marketing &amp; communication</t>
        </is>
      </c>
      <c r="B16" s="4" t="inlineStr">
        <is>
          <t>Charges externes</t>
        </is>
      </c>
      <c r="C16" s="4" t="inlineStr"/>
    </row>
    <row r="17">
      <c r="A17" s="4" t="inlineStr">
        <is>
          <t>Commissions sur encaissement</t>
        </is>
      </c>
      <c r="B17" s="4" t="inlineStr">
        <is>
          <t>Charges externes</t>
        </is>
      </c>
      <c r="C17" s="4" t="inlineStr">
        <is>
          <t>PCG: 622 -&gt; Charges externes</t>
        </is>
      </c>
    </row>
    <row r="18">
      <c r="A18" s="4" t="inlineStr">
        <is>
          <t>Déplacements, missions &amp; réceptions</t>
        </is>
      </c>
      <c r="B18" s="4" t="inlineStr">
        <is>
          <t>Charges externes</t>
        </is>
      </c>
      <c r="C18" s="4" t="inlineStr"/>
    </row>
    <row r="19">
      <c r="A19" s="4" t="inlineStr">
        <is>
          <t>Frais postaux &amp; télécom</t>
        </is>
      </c>
      <c r="B19" s="4" t="inlineStr">
        <is>
          <t>Charges externes</t>
        </is>
      </c>
      <c r="C19" s="4" t="inlineStr"/>
    </row>
    <row r="20">
      <c r="A20" s="4" t="inlineStr">
        <is>
          <t>Services bancaires</t>
        </is>
      </c>
      <c r="B20" s="4" t="inlineStr">
        <is>
          <t>Charges externes</t>
        </is>
      </c>
      <c r="C20" s="4" t="inlineStr">
        <is>
          <t>PCG: 627 -&gt; Charges externes (non financier)</t>
        </is>
      </c>
    </row>
    <row r="21">
      <c r="A21" s="4" t="inlineStr">
        <is>
          <t>Impôts &amp; taxes d'exploitation</t>
        </is>
      </c>
      <c r="B21" s="4" t="inlineStr">
        <is>
          <t>Impôts et taxes</t>
        </is>
      </c>
      <c r="C21" s="4" t="inlineStr"/>
    </row>
    <row r="22">
      <c r="A22" s="4" t="inlineStr">
        <is>
          <t>Charges de personnel</t>
        </is>
      </c>
      <c r="B22" s="4" t="inlineStr">
        <is>
          <t>Charges de personnel</t>
        </is>
      </c>
      <c r="C22" s="4" t="inlineStr"/>
    </row>
    <row r="23">
      <c r="A23" s="4" t="inlineStr">
        <is>
          <t>Poste #N/A (non mappe GL)</t>
        </is>
      </c>
      <c r="B23" s="4" t="inlineStr">
        <is>
          <t>Charges de personnel</t>
        </is>
      </c>
      <c r="C23" s="4" t="inlineStr">
        <is>
          <t>traceur: complement exact des Charges de personnel P&amp;L (4/5 entites)</t>
        </is>
      </c>
    </row>
    <row r="24">
      <c r="A24" s="4" t="inlineStr">
        <is>
          <t>Pertes sur créances irrécouvrables</t>
        </is>
      </c>
      <c r="B24" s="4" t="inlineStr">
        <is>
          <t>Autres charges d'exploitation</t>
        </is>
      </c>
      <c r="C24" s="4" t="inlineStr">
        <is>
          <t>PCG: 654 -&gt; Autres charges d'exploitation</t>
        </is>
      </c>
    </row>
    <row r="25">
      <c r="A25" s="4" t="inlineStr">
        <is>
          <t>Autres charges de gestion courante</t>
        </is>
      </c>
      <c r="B25" s="4" t="inlineStr">
        <is>
          <t>Autres charges d'exploitation</t>
        </is>
      </c>
      <c r="C25" s="4" t="inlineStr"/>
    </row>
    <row r="26">
      <c r="A26" s="4" t="inlineStr">
        <is>
          <t>Charges financières</t>
        </is>
      </c>
      <c r="B26" s="4" t="inlineStr">
        <is>
          <t>Charges et produits financiers</t>
        </is>
      </c>
      <c r="C26" s="4" t="inlineStr"/>
    </row>
    <row r="27">
      <c r="A27" s="4" t="inlineStr">
        <is>
          <t>[obsolète] Charges financières</t>
        </is>
      </c>
      <c r="B27" s="4" t="inlineStr">
        <is>
          <t>Charges et produits financiers</t>
        </is>
      </c>
      <c r="C27" s="4" t="inlineStr">
        <is>
          <t>[obsolete] rattaché à sa nature</t>
        </is>
      </c>
    </row>
    <row r="28">
      <c r="A28" s="4" t="inlineStr">
        <is>
          <t>[obsolète] Charges exceptionnelles</t>
        </is>
      </c>
      <c r="B28" s="4" t="inlineStr">
        <is>
          <t>Charges et produits exceptionnels</t>
        </is>
      </c>
      <c r="C28" s="4" t="inlineStr">
        <is>
          <t>[obsolete] rattaché à sa nature</t>
        </is>
      </c>
    </row>
    <row r="29">
      <c r="A29" s="4" t="inlineStr">
        <is>
          <t>Dotations amort. &amp; provisions</t>
        </is>
      </c>
      <c r="B29" s="4" t="inlineStr">
        <is>
          <t>Variations nettes des amortissements et des dépréciations</t>
        </is>
      </c>
      <c r="C29" s="4" t="inlineStr"/>
    </row>
    <row r="30">
      <c r="A30" s="4" t="inlineStr">
        <is>
          <t>Impôts sur les bénéfices &amp; crédits d'impôt</t>
        </is>
      </c>
      <c r="B30" s="4" t="inlineStr">
        <is>
          <t>Impôt sur les bénéfices</t>
        </is>
      </c>
      <c r="C3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6" customWidth="1" min="8" max="8"/>
  </cols>
  <sheetData>
    <row r="1">
      <c r="A1" s="3" t="inlineStr">
        <is>
          <t>Poste_GL</t>
        </is>
      </c>
      <c r="B1" s="3" t="inlineStr">
        <is>
          <t>H2R</t>
        </is>
      </c>
      <c r="C1" s="3" t="inlineStr">
        <is>
          <t>ALLIANCE</t>
        </is>
      </c>
      <c r="D1" s="3" t="inlineStr">
        <is>
          <t>BM EST</t>
        </is>
      </c>
      <c r="E1" s="3" t="inlineStr">
        <is>
          <t>KCOLD</t>
        </is>
      </c>
      <c r="F1" s="3" t="inlineStr">
        <is>
          <t>RIVAGROUPE</t>
        </is>
      </c>
      <c r="G1" s="3" t="inlineStr">
        <is>
          <t>VALPOLIS</t>
        </is>
      </c>
      <c r="H1" s="3" t="inlineStr">
        <is>
          <t>Ligne_PnL (VLOOKUP)</t>
        </is>
      </c>
    </row>
    <row r="2">
      <c r="A2" s="4" t="inlineStr">
        <is>
          <t>Sous-traitance &amp; prestations externes</t>
        </is>
      </c>
      <c r="B2" s="6" t="n">
        <v>-275361</v>
      </c>
      <c r="C2" s="6" t="n">
        <v>-48339</v>
      </c>
      <c r="D2" s="6" t="n">
        <v>-463080</v>
      </c>
      <c r="E2" s="6" t="n">
        <v>0</v>
      </c>
      <c r="F2" s="6" t="n">
        <v>-336289</v>
      </c>
      <c r="G2" s="6" t="n">
        <v>-15029</v>
      </c>
      <c r="H2" s="4">
        <f>VLOOKUP(A2,Map_Postes!$A:$B,2,0)</f>
        <v/>
      </c>
    </row>
    <row r="3">
      <c r="A3" s="4" t="inlineStr">
        <is>
          <t>Fournitures &amp; petit équipement</t>
        </is>
      </c>
      <c r="B3" s="6" t="n">
        <v>0</v>
      </c>
      <c r="C3" s="6" t="n">
        <v>-857</v>
      </c>
      <c r="D3" s="6" t="n">
        <v>-15587</v>
      </c>
      <c r="E3" s="6" t="n">
        <v>0</v>
      </c>
      <c r="F3" s="6" t="n">
        <v>0</v>
      </c>
      <c r="G3" s="6" t="n">
        <v>0</v>
      </c>
      <c r="H3" s="4">
        <f>VLOOKUP(A3,Map_Postes!$A:$B,2,0)</f>
        <v/>
      </c>
    </row>
    <row r="4">
      <c r="A4" s="4" t="inlineStr">
        <is>
          <t>Énergie, eau &amp; carburants</t>
        </is>
      </c>
      <c r="B4" s="6" t="n">
        <v>0</v>
      </c>
      <c r="C4" s="6" t="n">
        <v>-17254</v>
      </c>
      <c r="D4" s="6" t="n">
        <v>-16293</v>
      </c>
      <c r="E4" s="6" t="n">
        <v>0</v>
      </c>
      <c r="F4" s="6" t="n">
        <v>0</v>
      </c>
      <c r="G4" s="6" t="n">
        <v>0</v>
      </c>
      <c r="H4" s="4">
        <f>VLOOKUP(A4,Map_Postes!$A:$B,2,0)</f>
        <v/>
      </c>
    </row>
    <row r="5">
      <c r="A5" s="4" t="inlineStr">
        <is>
          <t>Logiciels, IT &amp; hébergement</t>
        </is>
      </c>
      <c r="B5" s="6" t="n">
        <v>0</v>
      </c>
      <c r="C5" s="6" t="n">
        <v>-289536</v>
      </c>
      <c r="D5" s="6" t="n">
        <v>-244796</v>
      </c>
      <c r="E5" s="6" t="n">
        <v>0</v>
      </c>
      <c r="F5" s="6" t="n">
        <v>0</v>
      </c>
      <c r="G5" s="6" t="n">
        <v>-591</v>
      </c>
      <c r="H5" s="4">
        <f>VLOOKUP(A5,Map_Postes!$A:$B,2,0)</f>
        <v/>
      </c>
    </row>
    <row r="6">
      <c r="A6" s="4" t="inlineStr">
        <is>
          <t>Achats de marchandises</t>
        </is>
      </c>
      <c r="B6" s="6" t="n">
        <v>0</v>
      </c>
      <c r="C6" s="6" t="n">
        <v>0</v>
      </c>
      <c r="D6" s="6" t="n">
        <v>-1298</v>
      </c>
      <c r="E6" s="6" t="n">
        <v>0</v>
      </c>
      <c r="F6" s="6" t="n">
        <v>0</v>
      </c>
      <c r="G6" s="6" t="n">
        <v>0</v>
      </c>
      <c r="H6" s="4">
        <f>VLOOKUP(A6,Map_Postes!$A:$B,2,0)</f>
        <v/>
      </c>
    </row>
    <row r="7">
      <c r="A7" s="4" t="inlineStr">
        <is>
          <t>Management fees / intra-groupe</t>
        </is>
      </c>
      <c r="B7" s="6" t="n">
        <v>-1078798</v>
      </c>
      <c r="C7" s="6" t="n">
        <v>-246503</v>
      </c>
      <c r="D7" s="6" t="n">
        <v>-2884993</v>
      </c>
      <c r="E7" s="6" t="n">
        <v>0</v>
      </c>
      <c r="F7" s="6" t="n">
        <v>0</v>
      </c>
      <c r="G7" s="6" t="n">
        <v>-104581</v>
      </c>
      <c r="H7" s="4">
        <f>VLOOKUP(A7,Map_Postes!$A:$B,2,0)</f>
        <v/>
      </c>
    </row>
    <row r="8">
      <c r="A8" s="4" t="inlineStr">
        <is>
          <t>Formation</t>
        </is>
      </c>
      <c r="B8" s="6" t="n">
        <v>-166</v>
      </c>
      <c r="C8" s="6" t="n">
        <v>-1279</v>
      </c>
      <c r="D8" s="6" t="n">
        <v>-135743</v>
      </c>
      <c r="E8" s="6" t="n">
        <v>0</v>
      </c>
      <c r="F8" s="6" t="n">
        <v>-925</v>
      </c>
      <c r="G8" s="6" t="n">
        <v>-4297</v>
      </c>
      <c r="H8" s="4">
        <f>VLOOKUP(A8,Map_Postes!$A:$B,2,0)</f>
        <v/>
      </c>
    </row>
    <row r="9">
      <c r="A9" s="4" t="inlineStr">
        <is>
          <t>Recrutement</t>
        </is>
      </c>
      <c r="B9" s="6" t="n">
        <v>0</v>
      </c>
      <c r="C9" s="6" t="n">
        <v>0</v>
      </c>
      <c r="D9" s="6" t="n">
        <v>-335279</v>
      </c>
      <c r="E9" s="6" t="n">
        <v>0</v>
      </c>
      <c r="F9" s="6" t="n">
        <v>0</v>
      </c>
      <c r="G9" s="6" t="n">
        <v>0</v>
      </c>
      <c r="H9" s="4">
        <f>VLOOKUP(A9,Map_Postes!$A:$B,2,0)</f>
        <v/>
      </c>
    </row>
    <row r="10">
      <c r="A10" s="4" t="inlineStr">
        <is>
          <t>Prestations conseillers TPE</t>
        </is>
      </c>
      <c r="B10" s="6" t="n">
        <v>0</v>
      </c>
      <c r="C10" s="6" t="n">
        <v>0</v>
      </c>
      <c r="D10" s="6" t="n">
        <v>-136255</v>
      </c>
      <c r="E10" s="6" t="n">
        <v>0</v>
      </c>
      <c r="F10" s="6" t="n">
        <v>0</v>
      </c>
      <c r="G10" s="6" t="n">
        <v>0</v>
      </c>
      <c r="H10" s="4">
        <f>VLOOKUP(A10,Map_Postes!$A:$B,2,0)</f>
        <v/>
      </c>
    </row>
    <row r="11">
      <c r="A11" s="4" t="inlineStr">
        <is>
          <t>Locations &amp; crédit-bail</t>
        </is>
      </c>
      <c r="B11" s="6" t="n">
        <v>-10495</v>
      </c>
      <c r="C11" s="6" t="n">
        <v>-34884</v>
      </c>
      <c r="D11" s="6" t="n">
        <v>-155629</v>
      </c>
      <c r="E11" s="6" t="n">
        <v>-600</v>
      </c>
      <c r="F11" s="6" t="n">
        <v>-18157</v>
      </c>
      <c r="G11" s="6" t="n">
        <v>-19360</v>
      </c>
      <c r="H11" s="4">
        <f>VLOOKUP(A11,Map_Postes!$A:$B,2,0)</f>
        <v/>
      </c>
    </row>
    <row r="12">
      <c r="A12" s="4" t="inlineStr">
        <is>
          <t>Entretien &amp; maintenance</t>
        </is>
      </c>
      <c r="B12" s="6" t="n">
        <v>-6000</v>
      </c>
      <c r="C12" s="6" t="n">
        <v>-12591</v>
      </c>
      <c r="D12" s="6" t="n">
        <v>-34692</v>
      </c>
      <c r="E12" s="6" t="n">
        <v>0</v>
      </c>
      <c r="F12" s="6" t="n">
        <v>0</v>
      </c>
      <c r="G12" s="6" t="n">
        <v>-5846</v>
      </c>
      <c r="H12" s="4">
        <f>VLOOKUP(A12,Map_Postes!$A:$B,2,0)</f>
        <v/>
      </c>
    </row>
    <row r="13">
      <c r="A13" s="4" t="inlineStr">
        <is>
          <t>Assurances</t>
        </is>
      </c>
      <c r="B13" s="6" t="n">
        <v>0</v>
      </c>
      <c r="C13" s="6" t="n">
        <v>-17136</v>
      </c>
      <c r="D13" s="6" t="n">
        <v>-7872</v>
      </c>
      <c r="E13" s="6" t="n">
        <v>0</v>
      </c>
      <c r="F13" s="6" t="n">
        <v>-6435</v>
      </c>
      <c r="G13" s="6" t="n">
        <v>0</v>
      </c>
      <c r="H13" s="4">
        <f>VLOOKUP(A13,Map_Postes!$A:$B,2,0)</f>
        <v/>
      </c>
    </row>
    <row r="14">
      <c r="A14" s="4" t="inlineStr">
        <is>
          <t>Documentation &amp; cotisations</t>
        </is>
      </c>
      <c r="B14" s="6" t="n">
        <v>0</v>
      </c>
      <c r="C14" s="6" t="n">
        <v>-1332</v>
      </c>
      <c r="D14" s="6" t="n">
        <v>-879</v>
      </c>
      <c r="E14" s="6" t="n">
        <v>0</v>
      </c>
      <c r="F14" s="6" t="n">
        <v>0</v>
      </c>
      <c r="G14" s="6" t="n">
        <v>0</v>
      </c>
      <c r="H14" s="4">
        <f>VLOOKUP(A14,Map_Postes!$A:$B,2,0)</f>
        <v/>
      </c>
    </row>
    <row r="15">
      <c r="A15" s="4" t="inlineStr">
        <is>
          <t>Honoraires</t>
        </is>
      </c>
      <c r="B15" s="6" t="n">
        <v>-8080</v>
      </c>
      <c r="C15" s="6" t="n">
        <v>-1077471</v>
      </c>
      <c r="D15" s="6" t="n">
        <v>-284798</v>
      </c>
      <c r="E15" s="6" t="n">
        <v>-5653</v>
      </c>
      <c r="F15" s="6" t="n">
        <v>-35026</v>
      </c>
      <c r="G15" s="6" t="n">
        <v>-16998</v>
      </c>
      <c r="H15" s="4">
        <f>VLOOKUP(A15,Map_Postes!$A:$B,2,0)</f>
        <v/>
      </c>
    </row>
    <row r="16">
      <c r="A16" s="4" t="inlineStr">
        <is>
          <t>Marketing &amp; communication</t>
        </is>
      </c>
      <c r="B16" s="6" t="n">
        <v>-263726</v>
      </c>
      <c r="C16" s="6" t="n">
        <v>-19296</v>
      </c>
      <c r="D16" s="6" t="n">
        <v>-444657</v>
      </c>
      <c r="E16" s="6" t="n">
        <v>0</v>
      </c>
      <c r="F16" s="6" t="n">
        <v>0</v>
      </c>
      <c r="G16" s="6" t="n">
        <v>0</v>
      </c>
      <c r="H16" s="4">
        <f>VLOOKUP(A16,Map_Postes!$A:$B,2,0)</f>
        <v/>
      </c>
    </row>
    <row r="17">
      <c r="A17" s="4" t="inlineStr">
        <is>
          <t>Commissions sur encaissement</t>
        </is>
      </c>
      <c r="B17" s="6" t="n">
        <v>-56499</v>
      </c>
      <c r="C17" s="6" t="n">
        <v>0</v>
      </c>
      <c r="D17" s="6" t="n">
        <v>-1806</v>
      </c>
      <c r="E17" s="6" t="n">
        <v>0</v>
      </c>
      <c r="F17" s="6" t="n">
        <v>0</v>
      </c>
      <c r="G17" s="6" t="n">
        <v>0</v>
      </c>
      <c r="H17" s="4">
        <f>VLOOKUP(A17,Map_Postes!$A:$B,2,0)</f>
        <v/>
      </c>
    </row>
    <row r="18">
      <c r="A18" s="4" t="inlineStr">
        <is>
          <t>Déplacements, missions &amp; réceptions</t>
        </is>
      </c>
      <c r="B18" s="6" t="n">
        <v>-175</v>
      </c>
      <c r="C18" s="6" t="n">
        <v>-31700</v>
      </c>
      <c r="D18" s="6" t="n">
        <v>-92290</v>
      </c>
      <c r="E18" s="6" t="n">
        <v>0</v>
      </c>
      <c r="F18" s="6" t="n">
        <v>-1733</v>
      </c>
      <c r="G18" s="6" t="n">
        <v>-3090</v>
      </c>
      <c r="H18" s="4">
        <f>VLOOKUP(A18,Map_Postes!$A:$B,2,0)</f>
        <v/>
      </c>
    </row>
    <row r="19">
      <c r="A19" s="4" t="inlineStr">
        <is>
          <t>Frais postaux &amp; télécom</t>
        </is>
      </c>
      <c r="B19" s="6" t="n">
        <v>0</v>
      </c>
      <c r="C19" s="6" t="n">
        <v>-982</v>
      </c>
      <c r="D19" s="6" t="n">
        <v>-24867</v>
      </c>
      <c r="E19" s="6" t="n">
        <v>0</v>
      </c>
      <c r="F19" s="6" t="n">
        <v>-5570</v>
      </c>
      <c r="G19" s="6" t="n">
        <v>-824</v>
      </c>
      <c r="H19" s="4">
        <f>VLOOKUP(A19,Map_Postes!$A:$B,2,0)</f>
        <v/>
      </c>
    </row>
    <row r="20">
      <c r="A20" s="4" t="inlineStr">
        <is>
          <t>Services bancaires</t>
        </is>
      </c>
      <c r="B20" s="6" t="n">
        <v>-3240</v>
      </c>
      <c r="C20" s="6" t="n">
        <v>-2673</v>
      </c>
      <c r="D20" s="6" t="n">
        <v>-22929</v>
      </c>
      <c r="E20" s="6" t="n">
        <v>-698</v>
      </c>
      <c r="F20" s="6" t="n">
        <v>-16539</v>
      </c>
      <c r="G20" s="6" t="n">
        <v>-1704</v>
      </c>
      <c r="H20" s="4">
        <f>VLOOKUP(A20,Map_Postes!$A:$B,2,0)</f>
        <v/>
      </c>
    </row>
    <row r="21">
      <c r="A21" s="4" t="inlineStr">
        <is>
          <t>Impôts &amp; taxes d'exploitation</t>
        </is>
      </c>
      <c r="B21" s="6" t="n">
        <v>-776</v>
      </c>
      <c r="C21" s="6" t="n">
        <v>-11741</v>
      </c>
      <c r="D21" s="6" t="n">
        <v>-11966</v>
      </c>
      <c r="E21" s="6" t="n">
        <v>0</v>
      </c>
      <c r="F21" s="6" t="n">
        <v>-15640</v>
      </c>
      <c r="G21" s="6" t="n">
        <v>-3612</v>
      </c>
      <c r="H21" s="4">
        <f>VLOOKUP(A21,Map_Postes!$A:$B,2,0)</f>
        <v/>
      </c>
    </row>
    <row r="22">
      <c r="A22" s="4" t="inlineStr">
        <is>
          <t>Charges de personnel</t>
        </is>
      </c>
      <c r="B22" s="6" t="n">
        <v>-34944</v>
      </c>
      <c r="C22" s="6" t="n">
        <v>-252782</v>
      </c>
      <c r="D22" s="6" t="n">
        <v>-2481037</v>
      </c>
      <c r="E22" s="6" t="n">
        <v>0</v>
      </c>
      <c r="F22" s="6" t="n">
        <v>-219277</v>
      </c>
      <c r="G22" s="6" t="n">
        <v>-360393</v>
      </c>
      <c r="H22" s="4">
        <f>VLOOKUP(A22,Map_Postes!$A:$B,2,0)</f>
        <v/>
      </c>
    </row>
    <row r="23">
      <c r="A23" s="4" t="inlineStr">
        <is>
          <t>Poste #N/A (non mappe GL)</t>
        </is>
      </c>
      <c r="B23" s="6" t="n">
        <v>-602</v>
      </c>
      <c r="C23" s="6" t="n">
        <v>4116</v>
      </c>
      <c r="D23" s="6" t="n">
        <v>-35268</v>
      </c>
      <c r="E23" s="6" t="n">
        <v>0</v>
      </c>
      <c r="F23" s="6" t="n">
        <v>-2515</v>
      </c>
      <c r="G23" s="6" t="n">
        <v>709</v>
      </c>
      <c r="H23" s="4">
        <f>VLOOKUP(A23,Map_Postes!$A:$B,2,0)</f>
        <v/>
      </c>
    </row>
    <row r="24">
      <c r="A24" s="4" t="inlineStr">
        <is>
          <t>Pertes sur créances irrécouvrables</t>
        </is>
      </c>
      <c r="B24" s="6" t="n">
        <v>0</v>
      </c>
      <c r="C24" s="6" t="n">
        <v>0</v>
      </c>
      <c r="D24" s="6" t="n">
        <v>-1003955</v>
      </c>
      <c r="E24" s="6" t="n">
        <v>0</v>
      </c>
      <c r="F24" s="6" t="n">
        <v>0</v>
      </c>
      <c r="G24" s="6" t="n">
        <v>-1560</v>
      </c>
      <c r="H24" s="4">
        <f>VLOOKUP(A24,Map_Postes!$A:$B,2,0)</f>
        <v/>
      </c>
    </row>
    <row r="25">
      <c r="A25" s="4" t="inlineStr">
        <is>
          <t>Autres charges de gestion courante</t>
        </is>
      </c>
      <c r="B25" s="6" t="n">
        <v>-11</v>
      </c>
      <c r="C25" s="6" t="n">
        <v>-0</v>
      </c>
      <c r="D25" s="6" t="n">
        <v>-3562</v>
      </c>
      <c r="E25" s="6" t="n">
        <v>0</v>
      </c>
      <c r="F25" s="6" t="n">
        <v>-12</v>
      </c>
      <c r="G25" s="6" t="n">
        <v>-16</v>
      </c>
      <c r="H25" s="4">
        <f>VLOOKUP(A25,Map_Postes!$A:$B,2,0)</f>
        <v/>
      </c>
    </row>
    <row r="26">
      <c r="A26" s="4" t="inlineStr">
        <is>
          <t>Charges financières</t>
        </is>
      </c>
      <c r="B26" s="6" t="n">
        <v>-5</v>
      </c>
      <c r="C26" s="6" t="n">
        <v>-11140</v>
      </c>
      <c r="D26" s="6" t="n">
        <v>-129253</v>
      </c>
      <c r="E26" s="6" t="n">
        <v>-12896</v>
      </c>
      <c r="F26" s="6" t="n">
        <v>-203686</v>
      </c>
      <c r="G26" s="6" t="n">
        <v>-30281</v>
      </c>
      <c r="H26" s="4">
        <f>VLOOKUP(A26,Map_Postes!$A:$B,2,0)</f>
        <v/>
      </c>
    </row>
    <row r="27">
      <c r="A27" s="4" t="inlineStr">
        <is>
          <t>[obsolète] Charges financières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4">
        <f>VLOOKUP(A27,Map_Postes!$A:$B,2,0)</f>
        <v/>
      </c>
    </row>
    <row r="28">
      <c r="A28" s="4" t="inlineStr">
        <is>
          <t>[obsolète] Charges exceptionnelles</t>
        </is>
      </c>
      <c r="B28" s="6" t="n">
        <v>0</v>
      </c>
      <c r="C28" s="6" t="n">
        <v>0</v>
      </c>
      <c r="D28" s="6" t="n">
        <v>-61085</v>
      </c>
      <c r="E28" s="6" t="n">
        <v>0</v>
      </c>
      <c r="F28" s="6" t="n">
        <v>0</v>
      </c>
      <c r="G28" s="6" t="n">
        <v>-272</v>
      </c>
      <c r="H28" s="4">
        <f>VLOOKUP(A28,Map_Postes!$A:$B,2,0)</f>
        <v/>
      </c>
    </row>
    <row r="29">
      <c r="A29" s="4" t="inlineStr">
        <is>
          <t>Dotations amort. &amp; provisions</t>
        </is>
      </c>
      <c r="B29" s="6" t="n">
        <v>0</v>
      </c>
      <c r="C29" s="6" t="n">
        <v>-1300993</v>
      </c>
      <c r="D29" s="6" t="n">
        <v>-1729962</v>
      </c>
      <c r="E29" s="6" t="n">
        <v>-2210</v>
      </c>
      <c r="F29" s="6" t="n">
        <v>-30425</v>
      </c>
      <c r="G29" s="6" t="n">
        <v>-10481</v>
      </c>
      <c r="H29" s="4">
        <f>VLOOKUP(A29,Map_Postes!$A:$B,2,0)</f>
        <v/>
      </c>
    </row>
    <row r="30">
      <c r="A30" s="4" t="inlineStr">
        <is>
          <t>Impôts sur les bénéfices &amp; crédits d'impôt</t>
        </is>
      </c>
      <c r="B30" s="6" t="n">
        <v>0</v>
      </c>
      <c r="C30" s="6" t="n">
        <v>-108381</v>
      </c>
      <c r="D30" s="6" t="n">
        <v>33039</v>
      </c>
      <c r="E30" s="6" t="n">
        <v>0</v>
      </c>
      <c r="F30" s="6" t="n">
        <v>1498</v>
      </c>
      <c r="G30" s="6" t="n">
        <v>3856</v>
      </c>
      <c r="H30" s="4">
        <f>VLOOKUP(A30,Map_Postes!$A:$B,2,0)</f>
        <v/>
      </c>
    </row>
    <row r="31">
      <c r="A31" s="2" t="inlineStr">
        <is>
          <t>Total (controle)</t>
        </is>
      </c>
      <c r="B31" s="7">
        <f>SUM(B2:B30)</f>
        <v/>
      </c>
      <c r="C31" s="7">
        <f>SUM(C2:C30)</f>
        <v/>
      </c>
      <c r="D31" s="7">
        <f>SUM(D2:D30)</f>
        <v/>
      </c>
      <c r="E31" s="7">
        <f>SUM(E2:E30)</f>
        <v/>
      </c>
      <c r="F31" s="7">
        <f>SUM(F2:F30)</f>
        <v/>
      </c>
      <c r="G31" s="7">
        <f>SUM(G2:G30)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" t="inlineStr">
        <is>
          <t>Ligne P&amp;L</t>
        </is>
      </c>
      <c r="B1" s="3" t="inlineStr">
        <is>
          <t>SARL H2R</t>
        </is>
      </c>
      <c r="C1" s="3" t="inlineStr">
        <is>
          <t>SAS GROUPE RIVALIS</t>
        </is>
      </c>
      <c r="D1" s="3" t="inlineStr">
        <is>
          <t>SARL BM EST</t>
        </is>
      </c>
      <c r="E1" s="3" t="inlineStr">
        <is>
          <t>RIVAGROUPE SAS</t>
        </is>
      </c>
      <c r="F1" s="3" t="inlineStr">
        <is>
          <t>SARL VALPOLIS</t>
        </is>
      </c>
      <c r="G1" s="3" t="inlineStr">
        <is>
          <t>KCOLD (orphelin)</t>
        </is>
      </c>
      <c r="H1" s="3" t="inlineStr">
        <is>
          <t>Total conso (5 ent.)</t>
        </is>
      </c>
    </row>
    <row r="2">
      <c r="A2" s="4" t="inlineStr">
        <is>
          <t>Achats consommés</t>
        </is>
      </c>
      <c r="B2" s="6">
        <f>SUMIF(GL_source!$H$2:$H$30,$A2,GL_source!$B$2:$B$30)</f>
        <v/>
      </c>
      <c r="C2" s="6">
        <f>SUMIF(GL_source!$H$2:$H$30,$A2,GL_source!$C$2:$C$30)</f>
        <v/>
      </c>
      <c r="D2" s="6">
        <f>SUMIF(GL_source!$H$2:$H$30,$A2,GL_source!$D$2:$D$30)</f>
        <v/>
      </c>
      <c r="E2" s="6">
        <f>SUMIF(GL_source!$H$2:$H$30,$A2,GL_source!$F$2:$F$30)</f>
        <v/>
      </c>
      <c r="F2" s="6">
        <f>SUMIF(GL_source!$H$2:$H$30,$A2,GL_source!$G$2:$G$30)</f>
        <v/>
      </c>
      <c r="G2" s="8">
        <f>SUMIF(GL_source!$H$2:$H$30,$A2,GL_source!$E$2:$E$30)</f>
        <v/>
      </c>
      <c r="H2" s="9">
        <f>SUM(B2:F2)</f>
        <v/>
      </c>
    </row>
    <row r="3">
      <c r="A3" s="4" t="inlineStr">
        <is>
          <t>Charges externes</t>
        </is>
      </c>
      <c r="B3" s="6">
        <f>SUMIF(GL_source!$H$2:$H$30,$A3,GL_source!$B$2:$B$30)</f>
        <v/>
      </c>
      <c r="C3" s="6">
        <f>SUMIF(GL_source!$H$2:$H$30,$A3,GL_source!$C$2:$C$30)</f>
        <v/>
      </c>
      <c r="D3" s="6">
        <f>SUMIF(GL_source!$H$2:$H$30,$A3,GL_source!$D$2:$D$30)</f>
        <v/>
      </c>
      <c r="E3" s="6">
        <f>SUMIF(GL_source!$H$2:$H$30,$A3,GL_source!$F$2:$F$30)</f>
        <v/>
      </c>
      <c r="F3" s="6">
        <f>SUMIF(GL_source!$H$2:$H$30,$A3,GL_source!$G$2:$G$30)</f>
        <v/>
      </c>
      <c r="G3" s="8">
        <f>SUMIF(GL_source!$H$2:$H$30,$A3,GL_source!$E$2:$E$30)</f>
        <v/>
      </c>
      <c r="H3" s="9">
        <f>SUM(B3:F3)</f>
        <v/>
      </c>
    </row>
    <row r="4">
      <c r="A4" s="4" t="inlineStr">
        <is>
          <t>Charges de personnel</t>
        </is>
      </c>
      <c r="B4" s="6">
        <f>SUMIF(GL_source!$H$2:$H$30,$A4,GL_source!$B$2:$B$30)</f>
        <v/>
      </c>
      <c r="C4" s="6">
        <f>SUMIF(GL_source!$H$2:$H$30,$A4,GL_source!$C$2:$C$30)</f>
        <v/>
      </c>
      <c r="D4" s="6">
        <f>SUMIF(GL_source!$H$2:$H$30,$A4,GL_source!$D$2:$D$30)</f>
        <v/>
      </c>
      <c r="E4" s="6">
        <f>SUMIF(GL_source!$H$2:$H$30,$A4,GL_source!$F$2:$F$30)</f>
        <v/>
      </c>
      <c r="F4" s="6">
        <f>SUMIF(GL_source!$H$2:$H$30,$A4,GL_source!$G$2:$G$30)</f>
        <v/>
      </c>
      <c r="G4" s="8">
        <f>SUMIF(GL_source!$H$2:$H$30,$A4,GL_source!$E$2:$E$30)</f>
        <v/>
      </c>
      <c r="H4" s="9">
        <f>SUM(B4:F4)</f>
        <v/>
      </c>
    </row>
    <row r="5">
      <c r="A5" s="4" t="inlineStr">
        <is>
          <t>Autres charges d'exploitation</t>
        </is>
      </c>
      <c r="B5" s="6">
        <f>SUMIF(GL_source!$H$2:$H$30,$A5,GL_source!$B$2:$B$30)</f>
        <v/>
      </c>
      <c r="C5" s="6">
        <f>SUMIF(GL_source!$H$2:$H$30,$A5,GL_source!$C$2:$C$30)</f>
        <v/>
      </c>
      <c r="D5" s="6">
        <f>SUMIF(GL_source!$H$2:$H$30,$A5,GL_source!$D$2:$D$30)</f>
        <v/>
      </c>
      <c r="E5" s="6">
        <f>SUMIF(GL_source!$H$2:$H$30,$A5,GL_source!$F$2:$F$30)</f>
        <v/>
      </c>
      <c r="F5" s="6">
        <f>SUMIF(GL_source!$H$2:$H$30,$A5,GL_source!$G$2:$G$30)</f>
        <v/>
      </c>
      <c r="G5" s="8">
        <f>SUMIF(GL_source!$H$2:$H$30,$A5,GL_source!$E$2:$E$30)</f>
        <v/>
      </c>
      <c r="H5" s="9">
        <f>SUM(B5:F5)</f>
        <v/>
      </c>
    </row>
    <row r="6">
      <c r="A6" s="4" t="inlineStr">
        <is>
          <t>Impôts et taxes</t>
        </is>
      </c>
      <c r="B6" s="6">
        <f>SUMIF(GL_source!$H$2:$H$30,$A6,GL_source!$B$2:$B$30)</f>
        <v/>
      </c>
      <c r="C6" s="6">
        <f>SUMIF(GL_source!$H$2:$H$30,$A6,GL_source!$C$2:$C$30)</f>
        <v/>
      </c>
      <c r="D6" s="6">
        <f>SUMIF(GL_source!$H$2:$H$30,$A6,GL_source!$D$2:$D$30)</f>
        <v/>
      </c>
      <c r="E6" s="6">
        <f>SUMIF(GL_source!$H$2:$H$30,$A6,GL_source!$F$2:$F$30)</f>
        <v/>
      </c>
      <c r="F6" s="6">
        <f>SUMIF(GL_source!$H$2:$H$30,$A6,GL_source!$G$2:$G$30)</f>
        <v/>
      </c>
      <c r="G6" s="8">
        <f>SUMIF(GL_source!$H$2:$H$30,$A6,GL_source!$E$2:$E$30)</f>
        <v/>
      </c>
      <c r="H6" s="9">
        <f>SUM(B6:F6)</f>
        <v/>
      </c>
    </row>
    <row r="7">
      <c r="A7" s="4" t="inlineStr">
        <is>
          <t>Variations nettes des amortissements et des dépréciations</t>
        </is>
      </c>
      <c r="B7" s="6">
        <f>SUMIF(GL_source!$H$2:$H$30,$A7,GL_source!$B$2:$B$30)</f>
        <v/>
      </c>
      <c r="C7" s="6">
        <f>SUMIF(GL_source!$H$2:$H$30,$A7,GL_source!$C$2:$C$30)</f>
        <v/>
      </c>
      <c r="D7" s="6">
        <f>SUMIF(GL_source!$H$2:$H$30,$A7,GL_source!$D$2:$D$30)</f>
        <v/>
      </c>
      <c r="E7" s="6">
        <f>SUMIF(GL_source!$H$2:$H$30,$A7,GL_source!$F$2:$F$30)</f>
        <v/>
      </c>
      <c r="F7" s="6">
        <f>SUMIF(GL_source!$H$2:$H$30,$A7,GL_source!$G$2:$G$30)</f>
        <v/>
      </c>
      <c r="G7" s="8">
        <f>SUMIF(GL_source!$H$2:$H$30,$A7,GL_source!$E$2:$E$30)</f>
        <v/>
      </c>
      <c r="H7" s="9">
        <f>SUM(B7:F7)</f>
        <v/>
      </c>
    </row>
    <row r="8">
      <c r="A8" s="4" t="inlineStr">
        <is>
          <t>Opérations d'exploitation Intra-Groupe</t>
        </is>
      </c>
      <c r="B8" s="6">
        <f>SUMIF(GL_source!$H$2:$H$30,$A8,GL_source!$B$2:$B$30)</f>
        <v/>
      </c>
      <c r="C8" s="6">
        <f>SUMIF(GL_source!$H$2:$H$30,$A8,GL_source!$C$2:$C$30)</f>
        <v/>
      </c>
      <c r="D8" s="6">
        <f>SUMIF(GL_source!$H$2:$H$30,$A8,GL_source!$D$2:$D$30)</f>
        <v/>
      </c>
      <c r="E8" s="6">
        <f>SUMIF(GL_source!$H$2:$H$30,$A8,GL_source!$F$2:$F$30)</f>
        <v/>
      </c>
      <c r="F8" s="6">
        <f>SUMIF(GL_source!$H$2:$H$30,$A8,GL_source!$G$2:$G$30)</f>
        <v/>
      </c>
      <c r="G8" s="8">
        <f>SUMIF(GL_source!$H$2:$H$30,$A8,GL_source!$E$2:$E$30)</f>
        <v/>
      </c>
      <c r="H8" s="9">
        <f>SUM(B8:F8)</f>
        <v/>
      </c>
    </row>
    <row r="9">
      <c r="A9" s="4" t="inlineStr">
        <is>
          <t>Charges et produits financiers</t>
        </is>
      </c>
      <c r="B9" s="6">
        <f>SUMIF(GL_source!$H$2:$H$30,$A9,GL_source!$B$2:$B$30)</f>
        <v/>
      </c>
      <c r="C9" s="6">
        <f>SUMIF(GL_source!$H$2:$H$30,$A9,GL_source!$C$2:$C$30)</f>
        <v/>
      </c>
      <c r="D9" s="6">
        <f>SUMIF(GL_source!$H$2:$H$30,$A9,GL_source!$D$2:$D$30)</f>
        <v/>
      </c>
      <c r="E9" s="6">
        <f>SUMIF(GL_source!$H$2:$H$30,$A9,GL_source!$F$2:$F$30)</f>
        <v/>
      </c>
      <c r="F9" s="6">
        <f>SUMIF(GL_source!$H$2:$H$30,$A9,GL_source!$G$2:$G$30)</f>
        <v/>
      </c>
      <c r="G9" s="8">
        <f>SUMIF(GL_source!$H$2:$H$30,$A9,GL_source!$E$2:$E$30)</f>
        <v/>
      </c>
      <c r="H9" s="9">
        <f>SUM(B9:F9)</f>
        <v/>
      </c>
    </row>
    <row r="10">
      <c r="A10" s="4" t="inlineStr">
        <is>
          <t>Opérations financières Intra-Groupe</t>
        </is>
      </c>
      <c r="B10" s="6">
        <f>SUMIF(GL_source!$H$2:$H$30,$A10,GL_source!$B$2:$B$30)</f>
        <v/>
      </c>
      <c r="C10" s="6">
        <f>SUMIF(GL_source!$H$2:$H$30,$A10,GL_source!$C$2:$C$30)</f>
        <v/>
      </c>
      <c r="D10" s="6">
        <f>SUMIF(GL_source!$H$2:$H$30,$A10,GL_source!$D$2:$D$30)</f>
        <v/>
      </c>
      <c r="E10" s="6">
        <f>SUMIF(GL_source!$H$2:$H$30,$A10,GL_source!$F$2:$F$30)</f>
        <v/>
      </c>
      <c r="F10" s="6">
        <f>SUMIF(GL_source!$H$2:$H$30,$A10,GL_source!$G$2:$G$30)</f>
        <v/>
      </c>
      <c r="G10" s="8">
        <f>SUMIF(GL_source!$H$2:$H$30,$A10,GL_source!$E$2:$E$30)</f>
        <v/>
      </c>
      <c r="H10" s="9">
        <f>SUM(B10:F10)</f>
        <v/>
      </c>
    </row>
    <row r="11">
      <c r="A11" s="4" t="inlineStr">
        <is>
          <t>Charges et produits exceptionnels</t>
        </is>
      </c>
      <c r="B11" s="6">
        <f>SUMIF(GL_source!$H$2:$H$30,$A11,GL_source!$B$2:$B$30)</f>
        <v/>
      </c>
      <c r="C11" s="6">
        <f>SUMIF(GL_source!$H$2:$H$30,$A11,GL_source!$C$2:$C$30)</f>
        <v/>
      </c>
      <c r="D11" s="6">
        <f>SUMIF(GL_source!$H$2:$H$30,$A11,GL_source!$D$2:$D$30)</f>
        <v/>
      </c>
      <c r="E11" s="6">
        <f>SUMIF(GL_source!$H$2:$H$30,$A11,GL_source!$F$2:$F$30)</f>
        <v/>
      </c>
      <c r="F11" s="6">
        <f>SUMIF(GL_source!$H$2:$H$30,$A11,GL_source!$G$2:$G$30)</f>
        <v/>
      </c>
      <c r="G11" s="8">
        <f>SUMIF(GL_source!$H$2:$H$30,$A11,GL_source!$E$2:$E$30)</f>
        <v/>
      </c>
      <c r="H11" s="9">
        <f>SUM(B11:F11)</f>
        <v/>
      </c>
    </row>
    <row r="12">
      <c r="A12" s="4" t="inlineStr">
        <is>
          <t>Opérations exceptionnelles Intra-Groupe</t>
        </is>
      </c>
      <c r="B12" s="6">
        <f>SUMIF(GL_source!$H$2:$H$30,$A12,GL_source!$B$2:$B$30)</f>
        <v/>
      </c>
      <c r="C12" s="6">
        <f>SUMIF(GL_source!$H$2:$H$30,$A12,GL_source!$C$2:$C$30)</f>
        <v/>
      </c>
      <c r="D12" s="6">
        <f>SUMIF(GL_source!$H$2:$H$30,$A12,GL_source!$D$2:$D$30)</f>
        <v/>
      </c>
      <c r="E12" s="6">
        <f>SUMIF(GL_source!$H$2:$H$30,$A12,GL_source!$F$2:$F$30)</f>
        <v/>
      </c>
      <c r="F12" s="6">
        <f>SUMIF(GL_source!$H$2:$H$30,$A12,GL_source!$G$2:$G$30)</f>
        <v/>
      </c>
      <c r="G12" s="8">
        <f>SUMIF(GL_source!$H$2:$H$30,$A12,GL_source!$E$2:$E$30)</f>
        <v/>
      </c>
      <c r="H12" s="9">
        <f>SUM(B12:F12)</f>
        <v/>
      </c>
    </row>
    <row r="13">
      <c r="A13" s="4" t="inlineStr">
        <is>
          <t>Impôt sur les bénéfices</t>
        </is>
      </c>
      <c r="B13" s="6">
        <f>SUMIF(GL_source!$H$2:$H$30,$A13,GL_source!$B$2:$B$30)</f>
        <v/>
      </c>
      <c r="C13" s="6">
        <f>SUMIF(GL_source!$H$2:$H$30,$A13,GL_source!$C$2:$C$30)</f>
        <v/>
      </c>
      <c r="D13" s="6">
        <f>SUMIF(GL_source!$H$2:$H$30,$A13,GL_source!$D$2:$D$30)</f>
        <v/>
      </c>
      <c r="E13" s="6">
        <f>SUMIF(GL_source!$H$2:$H$30,$A13,GL_source!$F$2:$F$30)</f>
        <v/>
      </c>
      <c r="F13" s="6">
        <f>SUMIF(GL_source!$H$2:$H$30,$A13,GL_source!$G$2:$G$30)</f>
        <v/>
      </c>
      <c r="G13" s="8">
        <f>SUMIF(GL_source!$H$2:$H$30,$A13,GL_source!$E$2:$E$30)</f>
        <v/>
      </c>
      <c r="H13" s="9">
        <f>SUM(B13:F13)</f>
        <v/>
      </c>
    </row>
    <row r="14">
      <c r="A14" s="2" t="inlineStr">
        <is>
          <t>TOTAL charges + IS</t>
        </is>
      </c>
      <c r="B14" s="7">
        <f>SUM(B2:B13)</f>
        <v/>
      </c>
      <c r="C14" s="7">
        <f>SUM(C2:C13)</f>
        <v/>
      </c>
      <c r="D14" s="7">
        <f>SUM(D2:D13)</f>
        <v/>
      </c>
      <c r="E14" s="7">
        <f>SUM(E2:E13)</f>
        <v/>
      </c>
      <c r="F14" s="7">
        <f>SUM(F2:F13)</f>
        <v/>
      </c>
      <c r="G14" s="7">
        <f>SUM(G2:G13)</f>
        <v/>
      </c>
      <c r="H14" s="7">
        <f>SUM(H2:H13)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Ligne P&amp;L</t>
        </is>
      </c>
      <c r="B1" s="3" t="inlineStr">
        <is>
          <t>SARL H2R</t>
        </is>
      </c>
      <c r="C1" s="3" t="inlineStr">
        <is>
          <t>SAS GROUPE RIVALIS</t>
        </is>
      </c>
      <c r="D1" s="3" t="inlineStr">
        <is>
          <t>SARL BM EST</t>
        </is>
      </c>
      <c r="E1" s="3" t="inlineStr">
        <is>
          <t>RIVAGROUPE SAS</t>
        </is>
      </c>
      <c r="F1" s="3" t="inlineStr">
        <is>
          <t>SARL VALPOLIS</t>
        </is>
      </c>
      <c r="G1" s="3" t="inlineStr">
        <is>
          <t>Total</t>
        </is>
      </c>
    </row>
    <row r="2">
      <c r="A2" s="4" t="inlineStr">
        <is>
          <t>Achats consommés</t>
        </is>
      </c>
      <c r="B2" s="6" t="n">
        <v>-35405</v>
      </c>
      <c r="C2" s="6" t="n">
        <v>-112295</v>
      </c>
      <c r="D2" s="6" t="n">
        <v>-235384</v>
      </c>
      <c r="E2" s="6" t="n">
        <v>-36</v>
      </c>
      <c r="F2" s="6" t="n">
        <v>0</v>
      </c>
      <c r="G2" s="9">
        <f>SUM(B2:F2)</f>
        <v/>
      </c>
    </row>
    <row r="3">
      <c r="A3" s="4" t="inlineStr">
        <is>
          <t>Charges externes</t>
        </is>
      </c>
      <c r="B3" s="6" t="n">
        <v>-533656</v>
      </c>
      <c r="C3" s="6" t="n">
        <v>-649779</v>
      </c>
      <c r="D3" s="6" t="n">
        <v>-1684551</v>
      </c>
      <c r="E3" s="6" t="n">
        <v>-66653</v>
      </c>
      <c r="F3" s="6" t="n">
        <v>-133161</v>
      </c>
      <c r="G3" s="9">
        <f>SUM(B3:F3)</f>
        <v/>
      </c>
    </row>
    <row r="4">
      <c r="A4" s="4" t="inlineStr">
        <is>
          <t>Charges de personnel</t>
        </is>
      </c>
      <c r="B4" s="6" t="n">
        <v>-35546</v>
      </c>
      <c r="C4" s="6" t="n">
        <v>-238132</v>
      </c>
      <c r="D4" s="6" t="n">
        <v>-2516306</v>
      </c>
      <c r="E4" s="6" t="n">
        <v>-221792</v>
      </c>
      <c r="F4" s="6" t="n">
        <v>-359684</v>
      </c>
      <c r="G4" s="9">
        <f>SUM(B4:F4)</f>
        <v/>
      </c>
    </row>
    <row r="5">
      <c r="A5" s="4" t="inlineStr">
        <is>
          <t>Autres charges d'exploitation</t>
        </is>
      </c>
      <c r="B5" s="6" t="n">
        <v>-11</v>
      </c>
      <c r="C5" s="6" t="n">
        <v>-1</v>
      </c>
      <c r="D5" s="6" t="n">
        <v>-1007517</v>
      </c>
      <c r="E5" s="6" t="n">
        <v>-12</v>
      </c>
      <c r="F5" s="6" t="n">
        <v>-1576</v>
      </c>
      <c r="G5" s="9">
        <f>SUM(B5:F5)</f>
        <v/>
      </c>
    </row>
    <row r="6">
      <c r="A6" s="4" t="inlineStr">
        <is>
          <t>Impôts et taxes</t>
        </is>
      </c>
      <c r="B6" s="6" t="n">
        <v>-942</v>
      </c>
      <c r="C6" s="6" t="n">
        <v>-13021</v>
      </c>
      <c r="D6" s="6" t="n">
        <v>-36605</v>
      </c>
      <c r="E6" s="6" t="n">
        <v>-16565</v>
      </c>
      <c r="F6" s="6" t="n">
        <v>-7909</v>
      </c>
      <c r="G6" s="9">
        <f>SUM(B6:F6)</f>
        <v/>
      </c>
    </row>
    <row r="7">
      <c r="A7" s="4" t="inlineStr">
        <is>
          <t>Variations nettes des amortissements et des dépréciations</t>
        </is>
      </c>
      <c r="B7" s="6" t="n">
        <v>0</v>
      </c>
      <c r="C7" s="6" t="n">
        <v>-748024</v>
      </c>
      <c r="D7" s="6" t="n">
        <v>-627271</v>
      </c>
      <c r="E7" s="6" t="n">
        <v>-9345</v>
      </c>
      <c r="F7" s="6" t="n">
        <v>-7839</v>
      </c>
      <c r="G7" s="9">
        <f>SUM(B7:F7)</f>
        <v/>
      </c>
    </row>
    <row r="8">
      <c r="A8" s="4" t="inlineStr">
        <is>
          <t>Opérations d'exploitation Intra-Groupe</t>
        </is>
      </c>
      <c r="B8" s="6" t="n">
        <v>-1061813</v>
      </c>
      <c r="C8" s="6" t="n">
        <v>2646979</v>
      </c>
      <c r="D8" s="6" t="n">
        <v>-2333944</v>
      </c>
      <c r="E8" s="6" t="n">
        <v>258091</v>
      </c>
      <c r="F8" s="6" t="n">
        <v>490687</v>
      </c>
      <c r="G8" s="9">
        <f>SUM(B8:F8)</f>
        <v/>
      </c>
    </row>
    <row r="9">
      <c r="A9" s="4" t="inlineStr">
        <is>
          <t>Charges et produits financiers</t>
        </is>
      </c>
      <c r="B9" s="6" t="n">
        <v>80</v>
      </c>
      <c r="C9" s="6" t="n">
        <v>-30694</v>
      </c>
      <c r="D9" s="6" t="n">
        <v>-48002</v>
      </c>
      <c r="E9" s="6" t="n">
        <v>458</v>
      </c>
      <c r="F9" s="6" t="n">
        <v>-954</v>
      </c>
      <c r="G9" s="9">
        <f>SUM(B9:F9)</f>
        <v/>
      </c>
    </row>
    <row r="10">
      <c r="A10" s="4" t="inlineStr">
        <is>
          <t>Opérations financières Intra-Groupe</t>
        </is>
      </c>
      <c r="B10" s="6" t="n">
        <v>3287</v>
      </c>
      <c r="C10" s="6" t="n">
        <v>17851</v>
      </c>
      <c r="D10" s="6" t="n">
        <v>4233</v>
      </c>
      <c r="E10" s="6" t="n">
        <v>-28023</v>
      </c>
      <c r="F10" s="6" t="n">
        <v>2652</v>
      </c>
      <c r="G10" s="9">
        <f>SUM(B10:F10)</f>
        <v/>
      </c>
    </row>
    <row r="11">
      <c r="A11" s="4" t="inlineStr">
        <is>
          <t>Charges et produits exceptionnels</t>
        </is>
      </c>
      <c r="B11" s="6" t="n">
        <v>0</v>
      </c>
      <c r="C11" s="6" t="n">
        <v>0</v>
      </c>
      <c r="D11" s="6" t="n">
        <v>-58332</v>
      </c>
      <c r="E11" s="6" t="n">
        <v>0</v>
      </c>
      <c r="F11" s="6" t="n">
        <v>23</v>
      </c>
      <c r="G11" s="9">
        <f>SUM(B11:F11)</f>
        <v/>
      </c>
    </row>
    <row r="12">
      <c r="A12" s="4" t="inlineStr">
        <is>
          <t>Opérations exceptionnelles Intra-Groupe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9">
        <f>SUM(B12:F12)</f>
        <v/>
      </c>
    </row>
    <row r="13">
      <c r="A13" s="4" t="inlineStr">
        <is>
          <t>Impôt sur les bénéfices</t>
        </is>
      </c>
      <c r="B13" s="6" t="n">
        <v>0</v>
      </c>
      <c r="C13" s="6" t="n">
        <v>-49743</v>
      </c>
      <c r="D13" s="6" t="n">
        <v>77375</v>
      </c>
      <c r="E13" s="6" t="n">
        <v>1498</v>
      </c>
      <c r="F13" s="6" t="n">
        <v>3856</v>
      </c>
      <c r="G13" s="9">
        <f>SUM(B13:F13)</f>
        <v/>
      </c>
    </row>
    <row r="15">
      <c r="A15" s="2" t="inlineStr">
        <is>
          <t>INFO (produits - hors bridge charges, le GL n'a pas de CA) :</t>
        </is>
      </c>
    </row>
    <row r="16">
      <c r="A16" t="inlineStr">
        <is>
          <t>Chiffre d'affaires</t>
        </is>
      </c>
      <c r="B16" s="10" t="n">
        <v>1682762</v>
      </c>
      <c r="C16" s="10" t="n">
        <v>1</v>
      </c>
      <c r="D16" s="10" t="n">
        <v>8759010</v>
      </c>
      <c r="E16" s="10" t="n">
        <v>8320</v>
      </c>
      <c r="F16" s="10" t="n">
        <v>5699</v>
      </c>
    </row>
    <row r="17">
      <c r="A17" t="inlineStr">
        <is>
          <t>Autres produits d'exploitation</t>
        </is>
      </c>
      <c r="B17" s="10" t="n">
        <v>0</v>
      </c>
      <c r="C17" s="10" t="n">
        <v>1926</v>
      </c>
      <c r="D17" s="10" t="n">
        <v>42071</v>
      </c>
      <c r="E17" s="10" t="n">
        <v>1469</v>
      </c>
      <c r="F17" s="10" t="n">
        <v>2950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5" customWidth="1" min="4" max="4"/>
    <col width="14" customWidth="1" min="5" max="5"/>
    <col width="9" customWidth="1" min="6" max="6"/>
  </cols>
  <sheetData>
    <row r="1">
      <c r="A1" s="3" t="inlineStr">
        <is>
          <t>Entité P&amp;L</t>
        </is>
      </c>
      <c r="B1" s="3" t="inlineStr">
        <is>
          <t>Ligne P&amp;L</t>
        </is>
      </c>
      <c r="C1" s="3" t="inlineStr">
        <is>
          <t>GL recalculé</t>
        </is>
      </c>
      <c r="D1" s="3" t="inlineStr">
        <is>
          <t>P&amp;L cible</t>
        </is>
      </c>
      <c r="E1" s="3" t="inlineStr">
        <is>
          <t>Écart €</t>
        </is>
      </c>
      <c r="F1" s="3" t="inlineStr">
        <is>
          <t>Écart %</t>
        </is>
      </c>
    </row>
    <row r="2">
      <c r="A2" s="4" t="inlineStr">
        <is>
          <t>SARL H2R</t>
        </is>
      </c>
      <c r="B2" s="4" t="inlineStr">
        <is>
          <t>Achats consommés</t>
        </is>
      </c>
      <c r="C2" s="6">
        <f>GL_retraite!B2</f>
        <v/>
      </c>
      <c r="D2" s="6">
        <f>PnL_cible!B2</f>
        <v/>
      </c>
      <c r="E2" s="6">
        <f>C2-D2</f>
        <v/>
      </c>
      <c r="F2" s="11">
        <f>IF(D2=0,"",E2/D2)</f>
        <v/>
      </c>
    </row>
    <row r="3">
      <c r="A3" s="4" t="inlineStr">
        <is>
          <t>SARL H2R</t>
        </is>
      </c>
      <c r="B3" s="4" t="inlineStr">
        <is>
          <t>Charges externes</t>
        </is>
      </c>
      <c r="C3" s="6">
        <f>GL_retraite!B3</f>
        <v/>
      </c>
      <c r="D3" s="6">
        <f>PnL_cible!B3</f>
        <v/>
      </c>
      <c r="E3" s="6">
        <f>C3-D3</f>
        <v/>
      </c>
      <c r="F3" s="11">
        <f>IF(D3=0,"",E3/D3)</f>
        <v/>
      </c>
    </row>
    <row r="4">
      <c r="A4" s="4" t="inlineStr">
        <is>
          <t>SARL H2R</t>
        </is>
      </c>
      <c r="B4" s="4" t="inlineStr">
        <is>
          <t>Charges de personnel</t>
        </is>
      </c>
      <c r="C4" s="6">
        <f>GL_retraite!B4</f>
        <v/>
      </c>
      <c r="D4" s="6">
        <f>PnL_cible!B4</f>
        <v/>
      </c>
      <c r="E4" s="6">
        <f>C4-D4</f>
        <v/>
      </c>
      <c r="F4" s="11">
        <f>IF(D4=0,"",E4/D4)</f>
        <v/>
      </c>
    </row>
    <row r="5">
      <c r="A5" s="4" t="inlineStr">
        <is>
          <t>SARL H2R</t>
        </is>
      </c>
      <c r="B5" s="4" t="inlineStr">
        <is>
          <t>Autres charges d'exploitation</t>
        </is>
      </c>
      <c r="C5" s="6">
        <f>GL_retraite!B5</f>
        <v/>
      </c>
      <c r="D5" s="6">
        <f>PnL_cible!B5</f>
        <v/>
      </c>
      <c r="E5" s="6">
        <f>C5-D5</f>
        <v/>
      </c>
      <c r="F5" s="11">
        <f>IF(D5=0,"",E5/D5)</f>
        <v/>
      </c>
    </row>
    <row r="6">
      <c r="A6" s="4" t="inlineStr">
        <is>
          <t>SARL H2R</t>
        </is>
      </c>
      <c r="B6" s="4" t="inlineStr">
        <is>
          <t>Impôts et taxes</t>
        </is>
      </c>
      <c r="C6" s="6">
        <f>GL_retraite!B6</f>
        <v/>
      </c>
      <c r="D6" s="6">
        <f>PnL_cible!B6</f>
        <v/>
      </c>
      <c r="E6" s="6">
        <f>C6-D6</f>
        <v/>
      </c>
      <c r="F6" s="11">
        <f>IF(D6=0,"",E6/D6)</f>
        <v/>
      </c>
    </row>
    <row r="7">
      <c r="A7" s="4" t="inlineStr">
        <is>
          <t>SARL H2R</t>
        </is>
      </c>
      <c r="B7" s="4" t="inlineStr">
        <is>
          <t>Variations nettes des amortissements et des dépréciations</t>
        </is>
      </c>
      <c r="C7" s="6">
        <f>GL_retraite!B7</f>
        <v/>
      </c>
      <c r="D7" s="6">
        <f>PnL_cible!B7</f>
        <v/>
      </c>
      <c r="E7" s="6">
        <f>C7-D7</f>
        <v/>
      </c>
      <c r="F7" s="11">
        <f>IF(D7=0,"",E7/D7)</f>
        <v/>
      </c>
    </row>
    <row r="8">
      <c r="A8" s="4" t="inlineStr">
        <is>
          <t>SARL H2R</t>
        </is>
      </c>
      <c r="B8" s="4" t="inlineStr">
        <is>
          <t>Opérations d'exploitation Intra-Groupe</t>
        </is>
      </c>
      <c r="C8" s="6">
        <f>GL_retraite!B8</f>
        <v/>
      </c>
      <c r="D8" s="6">
        <f>PnL_cible!B8</f>
        <v/>
      </c>
      <c r="E8" s="6">
        <f>C8-D8</f>
        <v/>
      </c>
      <c r="F8" s="11">
        <f>IF(D8=0,"",E8/D8)</f>
        <v/>
      </c>
    </row>
    <row r="9">
      <c r="A9" s="4" t="inlineStr">
        <is>
          <t>SARL H2R</t>
        </is>
      </c>
      <c r="B9" s="4" t="inlineStr">
        <is>
          <t>Charges et produits financiers</t>
        </is>
      </c>
      <c r="C9" s="6">
        <f>GL_retraite!B9</f>
        <v/>
      </c>
      <c r="D9" s="6">
        <f>PnL_cible!B9</f>
        <v/>
      </c>
      <c r="E9" s="6">
        <f>C9-D9</f>
        <v/>
      </c>
      <c r="F9" s="11">
        <f>IF(D9=0,"",E9/D9)</f>
        <v/>
      </c>
    </row>
    <row r="10">
      <c r="A10" s="4" t="inlineStr">
        <is>
          <t>SARL H2R</t>
        </is>
      </c>
      <c r="B10" s="4" t="inlineStr">
        <is>
          <t>Opérations financières Intra-Groupe</t>
        </is>
      </c>
      <c r="C10" s="6">
        <f>GL_retraite!B10</f>
        <v/>
      </c>
      <c r="D10" s="6">
        <f>PnL_cible!B10</f>
        <v/>
      </c>
      <c r="E10" s="6">
        <f>C10-D10</f>
        <v/>
      </c>
      <c r="F10" s="11">
        <f>IF(D10=0,"",E10/D10)</f>
        <v/>
      </c>
    </row>
    <row r="11">
      <c r="A11" s="4" t="inlineStr">
        <is>
          <t>SARL H2R</t>
        </is>
      </c>
      <c r="B11" s="4" t="inlineStr">
        <is>
          <t>Charges et produits exceptionnels</t>
        </is>
      </c>
      <c r="C11" s="6">
        <f>GL_retraite!B11</f>
        <v/>
      </c>
      <c r="D11" s="6">
        <f>PnL_cible!B11</f>
        <v/>
      </c>
      <c r="E11" s="6">
        <f>C11-D11</f>
        <v/>
      </c>
      <c r="F11" s="11">
        <f>IF(D11=0,"",E11/D11)</f>
        <v/>
      </c>
    </row>
    <row r="12">
      <c r="A12" s="4" t="inlineStr">
        <is>
          <t>SARL H2R</t>
        </is>
      </c>
      <c r="B12" s="4" t="inlineStr">
        <is>
          <t>Opérations exceptionnelles Intra-Groupe</t>
        </is>
      </c>
      <c r="C12" s="6">
        <f>GL_retraite!B12</f>
        <v/>
      </c>
      <c r="D12" s="6">
        <f>PnL_cible!B12</f>
        <v/>
      </c>
      <c r="E12" s="6">
        <f>C12-D12</f>
        <v/>
      </c>
      <c r="F12" s="11">
        <f>IF(D12=0,"",E12/D12)</f>
        <v/>
      </c>
    </row>
    <row r="13">
      <c r="A13" s="4" t="inlineStr">
        <is>
          <t>SARL H2R</t>
        </is>
      </c>
      <c r="B13" s="4" t="inlineStr">
        <is>
          <t>Impôt sur les bénéfices</t>
        </is>
      </c>
      <c r="C13" s="6">
        <f>GL_retraite!B13</f>
        <v/>
      </c>
      <c r="D13" s="6">
        <f>PnL_cible!B13</f>
        <v/>
      </c>
      <c r="E13" s="6">
        <f>C13-D13</f>
        <v/>
      </c>
      <c r="F13" s="11">
        <f>IF(D13=0,"",E13/D13)</f>
        <v/>
      </c>
    </row>
    <row r="14">
      <c r="A14" s="4" t="inlineStr">
        <is>
          <t>SAS GROUPE RIVALIS</t>
        </is>
      </c>
      <c r="B14" s="4" t="inlineStr">
        <is>
          <t>Achats consommés</t>
        </is>
      </c>
      <c r="C14" s="6">
        <f>GL_retraite!C2</f>
        <v/>
      </c>
      <c r="D14" s="6">
        <f>PnL_cible!C2</f>
        <v/>
      </c>
      <c r="E14" s="6">
        <f>C14-D14</f>
        <v/>
      </c>
      <c r="F14" s="11">
        <f>IF(D14=0,"",E14/D14)</f>
        <v/>
      </c>
    </row>
    <row r="15">
      <c r="A15" s="4" t="inlineStr">
        <is>
          <t>SAS GROUPE RIVALIS</t>
        </is>
      </c>
      <c r="B15" s="4" t="inlineStr">
        <is>
          <t>Charges externes</t>
        </is>
      </c>
      <c r="C15" s="6">
        <f>GL_retraite!C3</f>
        <v/>
      </c>
      <c r="D15" s="6">
        <f>PnL_cible!C3</f>
        <v/>
      </c>
      <c r="E15" s="6">
        <f>C15-D15</f>
        <v/>
      </c>
      <c r="F15" s="11">
        <f>IF(D15=0,"",E15/D15)</f>
        <v/>
      </c>
    </row>
    <row r="16">
      <c r="A16" s="4" t="inlineStr">
        <is>
          <t>SAS GROUPE RIVALIS</t>
        </is>
      </c>
      <c r="B16" s="4" t="inlineStr">
        <is>
          <t>Charges de personnel</t>
        </is>
      </c>
      <c r="C16" s="6">
        <f>GL_retraite!C4</f>
        <v/>
      </c>
      <c r="D16" s="6">
        <f>PnL_cible!C4</f>
        <v/>
      </c>
      <c r="E16" s="6">
        <f>C16-D16</f>
        <v/>
      </c>
      <c r="F16" s="11">
        <f>IF(D16=0,"",E16/D16)</f>
        <v/>
      </c>
    </row>
    <row r="17">
      <c r="A17" s="4" t="inlineStr">
        <is>
          <t>SAS GROUPE RIVALIS</t>
        </is>
      </c>
      <c r="B17" s="4" t="inlineStr">
        <is>
          <t>Autres charges d'exploitation</t>
        </is>
      </c>
      <c r="C17" s="6">
        <f>GL_retraite!C5</f>
        <v/>
      </c>
      <c r="D17" s="6">
        <f>PnL_cible!C5</f>
        <v/>
      </c>
      <c r="E17" s="6">
        <f>C17-D17</f>
        <v/>
      </c>
      <c r="F17" s="11">
        <f>IF(D17=0,"",E17/D17)</f>
        <v/>
      </c>
    </row>
    <row r="18">
      <c r="A18" s="4" t="inlineStr">
        <is>
          <t>SAS GROUPE RIVALIS</t>
        </is>
      </c>
      <c r="B18" s="4" t="inlineStr">
        <is>
          <t>Impôts et taxes</t>
        </is>
      </c>
      <c r="C18" s="6">
        <f>GL_retraite!C6</f>
        <v/>
      </c>
      <c r="D18" s="6">
        <f>PnL_cible!C6</f>
        <v/>
      </c>
      <c r="E18" s="6">
        <f>C18-D18</f>
        <v/>
      </c>
      <c r="F18" s="11">
        <f>IF(D18=0,"",E18/D18)</f>
        <v/>
      </c>
    </row>
    <row r="19">
      <c r="A19" s="4" t="inlineStr">
        <is>
          <t>SAS GROUPE RIVALIS</t>
        </is>
      </c>
      <c r="B19" s="4" t="inlineStr">
        <is>
          <t>Variations nettes des amortissements et des dépréciations</t>
        </is>
      </c>
      <c r="C19" s="6">
        <f>GL_retraite!C7</f>
        <v/>
      </c>
      <c r="D19" s="6">
        <f>PnL_cible!C7</f>
        <v/>
      </c>
      <c r="E19" s="6">
        <f>C19-D19</f>
        <v/>
      </c>
      <c r="F19" s="11">
        <f>IF(D19=0,"",E19/D19)</f>
        <v/>
      </c>
    </row>
    <row r="20">
      <c r="A20" s="4" t="inlineStr">
        <is>
          <t>SAS GROUPE RIVALIS</t>
        </is>
      </c>
      <c r="B20" s="4" t="inlineStr">
        <is>
          <t>Opérations d'exploitation Intra-Groupe</t>
        </is>
      </c>
      <c r="C20" s="6">
        <f>GL_retraite!C8</f>
        <v/>
      </c>
      <c r="D20" s="6">
        <f>PnL_cible!C8</f>
        <v/>
      </c>
      <c r="E20" s="6">
        <f>C20-D20</f>
        <v/>
      </c>
      <c r="F20" s="11">
        <f>IF(D20=0,"",E20/D20)</f>
        <v/>
      </c>
    </row>
    <row r="21">
      <c r="A21" s="4" t="inlineStr">
        <is>
          <t>SAS GROUPE RIVALIS</t>
        </is>
      </c>
      <c r="B21" s="4" t="inlineStr">
        <is>
          <t>Charges et produits financiers</t>
        </is>
      </c>
      <c r="C21" s="6">
        <f>GL_retraite!C9</f>
        <v/>
      </c>
      <c r="D21" s="6">
        <f>PnL_cible!C9</f>
        <v/>
      </c>
      <c r="E21" s="6">
        <f>C21-D21</f>
        <v/>
      </c>
      <c r="F21" s="11">
        <f>IF(D21=0,"",E21/D21)</f>
        <v/>
      </c>
    </row>
    <row r="22">
      <c r="A22" s="4" t="inlineStr">
        <is>
          <t>SAS GROUPE RIVALIS</t>
        </is>
      </c>
      <c r="B22" s="4" t="inlineStr">
        <is>
          <t>Opérations financières Intra-Groupe</t>
        </is>
      </c>
      <c r="C22" s="6">
        <f>GL_retraite!C10</f>
        <v/>
      </c>
      <c r="D22" s="6">
        <f>PnL_cible!C10</f>
        <v/>
      </c>
      <c r="E22" s="6">
        <f>C22-D22</f>
        <v/>
      </c>
      <c r="F22" s="11">
        <f>IF(D22=0,"",E22/D22)</f>
        <v/>
      </c>
    </row>
    <row r="23">
      <c r="A23" s="4" t="inlineStr">
        <is>
          <t>SAS GROUPE RIVALIS</t>
        </is>
      </c>
      <c r="B23" s="4" t="inlineStr">
        <is>
          <t>Charges et produits exceptionnels</t>
        </is>
      </c>
      <c r="C23" s="6">
        <f>GL_retraite!C11</f>
        <v/>
      </c>
      <c r="D23" s="6">
        <f>PnL_cible!C11</f>
        <v/>
      </c>
      <c r="E23" s="6">
        <f>C23-D23</f>
        <v/>
      </c>
      <c r="F23" s="11">
        <f>IF(D23=0,"",E23/D23)</f>
        <v/>
      </c>
    </row>
    <row r="24">
      <c r="A24" s="4" t="inlineStr">
        <is>
          <t>SAS GROUPE RIVALIS</t>
        </is>
      </c>
      <c r="B24" s="4" t="inlineStr">
        <is>
          <t>Opérations exceptionnelles Intra-Groupe</t>
        </is>
      </c>
      <c r="C24" s="6">
        <f>GL_retraite!C12</f>
        <v/>
      </c>
      <c r="D24" s="6">
        <f>PnL_cible!C12</f>
        <v/>
      </c>
      <c r="E24" s="6">
        <f>C24-D24</f>
        <v/>
      </c>
      <c r="F24" s="11">
        <f>IF(D24=0,"",E24/D24)</f>
        <v/>
      </c>
    </row>
    <row r="25">
      <c r="A25" s="4" t="inlineStr">
        <is>
          <t>SAS GROUPE RIVALIS</t>
        </is>
      </c>
      <c r="B25" s="4" t="inlineStr">
        <is>
          <t>Impôt sur les bénéfices</t>
        </is>
      </c>
      <c r="C25" s="6">
        <f>GL_retraite!C13</f>
        <v/>
      </c>
      <c r="D25" s="6">
        <f>PnL_cible!C13</f>
        <v/>
      </c>
      <c r="E25" s="6">
        <f>C25-D25</f>
        <v/>
      </c>
      <c r="F25" s="11">
        <f>IF(D25=0,"",E25/D25)</f>
        <v/>
      </c>
    </row>
    <row r="26">
      <c r="A26" s="4" t="inlineStr">
        <is>
          <t>SARL BM EST</t>
        </is>
      </c>
      <c r="B26" s="4" t="inlineStr">
        <is>
          <t>Achats consommés</t>
        </is>
      </c>
      <c r="C26" s="6">
        <f>GL_retraite!D2</f>
        <v/>
      </c>
      <c r="D26" s="6">
        <f>PnL_cible!D2</f>
        <v/>
      </c>
      <c r="E26" s="6">
        <f>C26-D26</f>
        <v/>
      </c>
      <c r="F26" s="11">
        <f>IF(D26=0,"",E26/D26)</f>
        <v/>
      </c>
    </row>
    <row r="27">
      <c r="A27" s="4" t="inlineStr">
        <is>
          <t>SARL BM EST</t>
        </is>
      </c>
      <c r="B27" s="4" t="inlineStr">
        <is>
          <t>Charges externes</t>
        </is>
      </c>
      <c r="C27" s="6">
        <f>GL_retraite!D3</f>
        <v/>
      </c>
      <c r="D27" s="6">
        <f>PnL_cible!D3</f>
        <v/>
      </c>
      <c r="E27" s="6">
        <f>C27-D27</f>
        <v/>
      </c>
      <c r="F27" s="11">
        <f>IF(D27=0,"",E27/D27)</f>
        <v/>
      </c>
    </row>
    <row r="28">
      <c r="A28" s="4" t="inlineStr">
        <is>
          <t>SARL BM EST</t>
        </is>
      </c>
      <c r="B28" s="4" t="inlineStr">
        <is>
          <t>Charges de personnel</t>
        </is>
      </c>
      <c r="C28" s="6">
        <f>GL_retraite!D4</f>
        <v/>
      </c>
      <c r="D28" s="6">
        <f>PnL_cible!D4</f>
        <v/>
      </c>
      <c r="E28" s="6">
        <f>C28-D28</f>
        <v/>
      </c>
      <c r="F28" s="11">
        <f>IF(D28=0,"",E28/D28)</f>
        <v/>
      </c>
    </row>
    <row r="29">
      <c r="A29" s="4" t="inlineStr">
        <is>
          <t>SARL BM EST</t>
        </is>
      </c>
      <c r="B29" s="4" t="inlineStr">
        <is>
          <t>Autres charges d'exploitation</t>
        </is>
      </c>
      <c r="C29" s="6">
        <f>GL_retraite!D5</f>
        <v/>
      </c>
      <c r="D29" s="6">
        <f>PnL_cible!D5</f>
        <v/>
      </c>
      <c r="E29" s="6">
        <f>C29-D29</f>
        <v/>
      </c>
      <c r="F29" s="11">
        <f>IF(D29=0,"",E29/D29)</f>
        <v/>
      </c>
    </row>
    <row r="30">
      <c r="A30" s="4" t="inlineStr">
        <is>
          <t>SARL BM EST</t>
        </is>
      </c>
      <c r="B30" s="4" t="inlineStr">
        <is>
          <t>Impôts et taxes</t>
        </is>
      </c>
      <c r="C30" s="6">
        <f>GL_retraite!D6</f>
        <v/>
      </c>
      <c r="D30" s="6">
        <f>PnL_cible!D6</f>
        <v/>
      </c>
      <c r="E30" s="6">
        <f>C30-D30</f>
        <v/>
      </c>
      <c r="F30" s="11">
        <f>IF(D30=0,"",E30/D30)</f>
        <v/>
      </c>
    </row>
    <row r="31">
      <c r="A31" s="4" t="inlineStr">
        <is>
          <t>SARL BM EST</t>
        </is>
      </c>
      <c r="B31" s="4" t="inlineStr">
        <is>
          <t>Variations nettes des amortissements et des dépréciations</t>
        </is>
      </c>
      <c r="C31" s="6">
        <f>GL_retraite!D7</f>
        <v/>
      </c>
      <c r="D31" s="6">
        <f>PnL_cible!D7</f>
        <v/>
      </c>
      <c r="E31" s="6">
        <f>C31-D31</f>
        <v/>
      </c>
      <c r="F31" s="11">
        <f>IF(D31=0,"",E31/D31)</f>
        <v/>
      </c>
    </row>
    <row r="32">
      <c r="A32" s="4" t="inlineStr">
        <is>
          <t>SARL BM EST</t>
        </is>
      </c>
      <c r="B32" s="4" t="inlineStr">
        <is>
          <t>Opérations d'exploitation Intra-Groupe</t>
        </is>
      </c>
      <c r="C32" s="6">
        <f>GL_retraite!D8</f>
        <v/>
      </c>
      <c r="D32" s="6">
        <f>PnL_cible!D8</f>
        <v/>
      </c>
      <c r="E32" s="6">
        <f>C32-D32</f>
        <v/>
      </c>
      <c r="F32" s="11">
        <f>IF(D32=0,"",E32/D32)</f>
        <v/>
      </c>
    </row>
    <row r="33">
      <c r="A33" s="4" t="inlineStr">
        <is>
          <t>SARL BM EST</t>
        </is>
      </c>
      <c r="B33" s="4" t="inlineStr">
        <is>
          <t>Charges et produits financiers</t>
        </is>
      </c>
      <c r="C33" s="6">
        <f>GL_retraite!D9</f>
        <v/>
      </c>
      <c r="D33" s="6">
        <f>PnL_cible!D9</f>
        <v/>
      </c>
      <c r="E33" s="6">
        <f>C33-D33</f>
        <v/>
      </c>
      <c r="F33" s="11">
        <f>IF(D33=0,"",E33/D33)</f>
        <v/>
      </c>
    </row>
    <row r="34">
      <c r="A34" s="4" t="inlineStr">
        <is>
          <t>SARL BM EST</t>
        </is>
      </c>
      <c r="B34" s="4" t="inlineStr">
        <is>
          <t>Opérations financières Intra-Groupe</t>
        </is>
      </c>
      <c r="C34" s="6">
        <f>GL_retraite!D10</f>
        <v/>
      </c>
      <c r="D34" s="6">
        <f>PnL_cible!D10</f>
        <v/>
      </c>
      <c r="E34" s="6">
        <f>C34-D34</f>
        <v/>
      </c>
      <c r="F34" s="11">
        <f>IF(D34=0,"",E34/D34)</f>
        <v/>
      </c>
    </row>
    <row r="35">
      <c r="A35" s="4" t="inlineStr">
        <is>
          <t>SARL BM EST</t>
        </is>
      </c>
      <c r="B35" s="4" t="inlineStr">
        <is>
          <t>Charges et produits exceptionnels</t>
        </is>
      </c>
      <c r="C35" s="6">
        <f>GL_retraite!D11</f>
        <v/>
      </c>
      <c r="D35" s="6">
        <f>PnL_cible!D11</f>
        <v/>
      </c>
      <c r="E35" s="6">
        <f>C35-D35</f>
        <v/>
      </c>
      <c r="F35" s="11">
        <f>IF(D35=0,"",E35/D35)</f>
        <v/>
      </c>
    </row>
    <row r="36">
      <c r="A36" s="4" t="inlineStr">
        <is>
          <t>SARL BM EST</t>
        </is>
      </c>
      <c r="B36" s="4" t="inlineStr">
        <is>
          <t>Opérations exceptionnelles Intra-Groupe</t>
        </is>
      </c>
      <c r="C36" s="6">
        <f>GL_retraite!D12</f>
        <v/>
      </c>
      <c r="D36" s="6">
        <f>PnL_cible!D12</f>
        <v/>
      </c>
      <c r="E36" s="6">
        <f>C36-D36</f>
        <v/>
      </c>
      <c r="F36" s="11">
        <f>IF(D36=0,"",E36/D36)</f>
        <v/>
      </c>
    </row>
    <row r="37">
      <c r="A37" s="4" t="inlineStr">
        <is>
          <t>SARL BM EST</t>
        </is>
      </c>
      <c r="B37" s="4" t="inlineStr">
        <is>
          <t>Impôt sur les bénéfices</t>
        </is>
      </c>
      <c r="C37" s="6">
        <f>GL_retraite!D13</f>
        <v/>
      </c>
      <c r="D37" s="6">
        <f>PnL_cible!D13</f>
        <v/>
      </c>
      <c r="E37" s="6">
        <f>C37-D37</f>
        <v/>
      </c>
      <c r="F37" s="11">
        <f>IF(D37=0,"",E37/D37)</f>
        <v/>
      </c>
    </row>
    <row r="38">
      <c r="A38" s="4" t="inlineStr">
        <is>
          <t>RIVAGROUPE SAS</t>
        </is>
      </c>
      <c r="B38" s="4" t="inlineStr">
        <is>
          <t>Achats consommés</t>
        </is>
      </c>
      <c r="C38" s="6">
        <f>GL_retraite!E2</f>
        <v/>
      </c>
      <c r="D38" s="6">
        <f>PnL_cible!E2</f>
        <v/>
      </c>
      <c r="E38" s="6">
        <f>C38-D38</f>
        <v/>
      </c>
      <c r="F38" s="11">
        <f>IF(D38=0,"",E38/D38)</f>
        <v/>
      </c>
    </row>
    <row r="39">
      <c r="A39" s="4" t="inlineStr">
        <is>
          <t>RIVAGROUPE SAS</t>
        </is>
      </c>
      <c r="B39" s="4" t="inlineStr">
        <is>
          <t>Charges externes</t>
        </is>
      </c>
      <c r="C39" s="6">
        <f>GL_retraite!E3</f>
        <v/>
      </c>
      <c r="D39" s="6">
        <f>PnL_cible!E3</f>
        <v/>
      </c>
      <c r="E39" s="6">
        <f>C39-D39</f>
        <v/>
      </c>
      <c r="F39" s="11">
        <f>IF(D39=0,"",E39/D39)</f>
        <v/>
      </c>
    </row>
    <row r="40">
      <c r="A40" s="4" t="inlineStr">
        <is>
          <t>RIVAGROUPE SAS</t>
        </is>
      </c>
      <c r="B40" s="4" t="inlineStr">
        <is>
          <t>Charges de personnel</t>
        </is>
      </c>
      <c r="C40" s="6">
        <f>GL_retraite!E4</f>
        <v/>
      </c>
      <c r="D40" s="6">
        <f>PnL_cible!E4</f>
        <v/>
      </c>
      <c r="E40" s="6">
        <f>C40-D40</f>
        <v/>
      </c>
      <c r="F40" s="11">
        <f>IF(D40=0,"",E40/D40)</f>
        <v/>
      </c>
    </row>
    <row r="41">
      <c r="A41" s="4" t="inlineStr">
        <is>
          <t>RIVAGROUPE SAS</t>
        </is>
      </c>
      <c r="B41" s="4" t="inlineStr">
        <is>
          <t>Autres charges d'exploitation</t>
        </is>
      </c>
      <c r="C41" s="6">
        <f>GL_retraite!E5</f>
        <v/>
      </c>
      <c r="D41" s="6">
        <f>PnL_cible!E5</f>
        <v/>
      </c>
      <c r="E41" s="6">
        <f>C41-D41</f>
        <v/>
      </c>
      <c r="F41" s="11">
        <f>IF(D41=0,"",E41/D41)</f>
        <v/>
      </c>
    </row>
    <row r="42">
      <c r="A42" s="4" t="inlineStr">
        <is>
          <t>RIVAGROUPE SAS</t>
        </is>
      </c>
      <c r="B42" s="4" t="inlineStr">
        <is>
          <t>Impôts et taxes</t>
        </is>
      </c>
      <c r="C42" s="6">
        <f>GL_retraite!E6</f>
        <v/>
      </c>
      <c r="D42" s="6">
        <f>PnL_cible!E6</f>
        <v/>
      </c>
      <c r="E42" s="6">
        <f>C42-D42</f>
        <v/>
      </c>
      <c r="F42" s="11">
        <f>IF(D42=0,"",E42/D42)</f>
        <v/>
      </c>
    </row>
    <row r="43">
      <c r="A43" s="4" t="inlineStr">
        <is>
          <t>RIVAGROUPE SAS</t>
        </is>
      </c>
      <c r="B43" s="4" t="inlineStr">
        <is>
          <t>Variations nettes des amortissements et des dépréciations</t>
        </is>
      </c>
      <c r="C43" s="6">
        <f>GL_retraite!E7</f>
        <v/>
      </c>
      <c r="D43" s="6">
        <f>PnL_cible!E7</f>
        <v/>
      </c>
      <c r="E43" s="6">
        <f>C43-D43</f>
        <v/>
      </c>
      <c r="F43" s="11">
        <f>IF(D43=0,"",E43/D43)</f>
        <v/>
      </c>
    </row>
    <row r="44">
      <c r="A44" s="4" t="inlineStr">
        <is>
          <t>RIVAGROUPE SAS</t>
        </is>
      </c>
      <c r="B44" s="4" t="inlineStr">
        <is>
          <t>Opérations d'exploitation Intra-Groupe</t>
        </is>
      </c>
      <c r="C44" s="6">
        <f>GL_retraite!E8</f>
        <v/>
      </c>
      <c r="D44" s="6">
        <f>PnL_cible!E8</f>
        <v/>
      </c>
      <c r="E44" s="6">
        <f>C44-D44</f>
        <v/>
      </c>
      <c r="F44" s="11">
        <f>IF(D44=0,"",E44/D44)</f>
        <v/>
      </c>
    </row>
    <row r="45">
      <c r="A45" s="4" t="inlineStr">
        <is>
          <t>RIVAGROUPE SAS</t>
        </is>
      </c>
      <c r="B45" s="4" t="inlineStr">
        <is>
          <t>Charges et produits financiers</t>
        </is>
      </c>
      <c r="C45" s="6">
        <f>GL_retraite!E9</f>
        <v/>
      </c>
      <c r="D45" s="6">
        <f>PnL_cible!E9</f>
        <v/>
      </c>
      <c r="E45" s="6">
        <f>C45-D45</f>
        <v/>
      </c>
      <c r="F45" s="11">
        <f>IF(D45=0,"",E45/D45)</f>
        <v/>
      </c>
    </row>
    <row r="46">
      <c r="A46" s="4" t="inlineStr">
        <is>
          <t>RIVAGROUPE SAS</t>
        </is>
      </c>
      <c r="B46" s="4" t="inlineStr">
        <is>
          <t>Opérations financières Intra-Groupe</t>
        </is>
      </c>
      <c r="C46" s="6">
        <f>GL_retraite!E10</f>
        <v/>
      </c>
      <c r="D46" s="6">
        <f>PnL_cible!E10</f>
        <v/>
      </c>
      <c r="E46" s="6">
        <f>C46-D46</f>
        <v/>
      </c>
      <c r="F46" s="11">
        <f>IF(D46=0,"",E46/D46)</f>
        <v/>
      </c>
    </row>
    <row r="47">
      <c r="A47" s="4" t="inlineStr">
        <is>
          <t>RIVAGROUPE SAS</t>
        </is>
      </c>
      <c r="B47" s="4" t="inlineStr">
        <is>
          <t>Charges et produits exceptionnels</t>
        </is>
      </c>
      <c r="C47" s="6">
        <f>GL_retraite!E11</f>
        <v/>
      </c>
      <c r="D47" s="6">
        <f>PnL_cible!E11</f>
        <v/>
      </c>
      <c r="E47" s="6">
        <f>C47-D47</f>
        <v/>
      </c>
      <c r="F47" s="11">
        <f>IF(D47=0,"",E47/D47)</f>
        <v/>
      </c>
    </row>
    <row r="48">
      <c r="A48" s="4" t="inlineStr">
        <is>
          <t>RIVAGROUPE SAS</t>
        </is>
      </c>
      <c r="B48" s="4" t="inlineStr">
        <is>
          <t>Opérations exceptionnelles Intra-Groupe</t>
        </is>
      </c>
      <c r="C48" s="6">
        <f>GL_retraite!E12</f>
        <v/>
      </c>
      <c r="D48" s="6">
        <f>PnL_cible!E12</f>
        <v/>
      </c>
      <c r="E48" s="6">
        <f>C48-D48</f>
        <v/>
      </c>
      <c r="F48" s="11">
        <f>IF(D48=0,"",E48/D48)</f>
        <v/>
      </c>
    </row>
    <row r="49">
      <c r="A49" s="4" t="inlineStr">
        <is>
          <t>RIVAGROUPE SAS</t>
        </is>
      </c>
      <c r="B49" s="4" t="inlineStr">
        <is>
          <t>Impôt sur les bénéfices</t>
        </is>
      </c>
      <c r="C49" s="6">
        <f>GL_retraite!E13</f>
        <v/>
      </c>
      <c r="D49" s="6">
        <f>PnL_cible!E13</f>
        <v/>
      </c>
      <c r="E49" s="6">
        <f>C49-D49</f>
        <v/>
      </c>
      <c r="F49" s="11">
        <f>IF(D49=0,"",E49/D49)</f>
        <v/>
      </c>
    </row>
    <row r="50">
      <c r="A50" s="4" t="inlineStr">
        <is>
          <t>SARL VALPOLIS</t>
        </is>
      </c>
      <c r="B50" s="4" t="inlineStr">
        <is>
          <t>Achats consommés</t>
        </is>
      </c>
      <c r="C50" s="6">
        <f>GL_retraite!F2</f>
        <v/>
      </c>
      <c r="D50" s="6">
        <f>PnL_cible!F2</f>
        <v/>
      </c>
      <c r="E50" s="6">
        <f>C50-D50</f>
        <v/>
      </c>
      <c r="F50" s="11">
        <f>IF(D50=0,"",E50/D50)</f>
        <v/>
      </c>
    </row>
    <row r="51">
      <c r="A51" s="4" t="inlineStr">
        <is>
          <t>SARL VALPOLIS</t>
        </is>
      </c>
      <c r="B51" s="4" t="inlineStr">
        <is>
          <t>Charges externes</t>
        </is>
      </c>
      <c r="C51" s="6">
        <f>GL_retraite!F3</f>
        <v/>
      </c>
      <c r="D51" s="6">
        <f>PnL_cible!F3</f>
        <v/>
      </c>
      <c r="E51" s="6">
        <f>C51-D51</f>
        <v/>
      </c>
      <c r="F51" s="11">
        <f>IF(D51=0,"",E51/D51)</f>
        <v/>
      </c>
    </row>
    <row r="52">
      <c r="A52" s="4" t="inlineStr">
        <is>
          <t>SARL VALPOLIS</t>
        </is>
      </c>
      <c r="B52" s="4" t="inlineStr">
        <is>
          <t>Charges de personnel</t>
        </is>
      </c>
      <c r="C52" s="6">
        <f>GL_retraite!F4</f>
        <v/>
      </c>
      <c r="D52" s="6">
        <f>PnL_cible!F4</f>
        <v/>
      </c>
      <c r="E52" s="6">
        <f>C52-D52</f>
        <v/>
      </c>
      <c r="F52" s="11">
        <f>IF(D52=0,"",E52/D52)</f>
        <v/>
      </c>
    </row>
    <row r="53">
      <c r="A53" s="4" t="inlineStr">
        <is>
          <t>SARL VALPOLIS</t>
        </is>
      </c>
      <c r="B53" s="4" t="inlineStr">
        <is>
          <t>Autres charges d'exploitation</t>
        </is>
      </c>
      <c r="C53" s="6">
        <f>GL_retraite!F5</f>
        <v/>
      </c>
      <c r="D53" s="6">
        <f>PnL_cible!F5</f>
        <v/>
      </c>
      <c r="E53" s="6">
        <f>C53-D53</f>
        <v/>
      </c>
      <c r="F53" s="11">
        <f>IF(D53=0,"",E53/D53)</f>
        <v/>
      </c>
    </row>
    <row r="54">
      <c r="A54" s="4" t="inlineStr">
        <is>
          <t>SARL VALPOLIS</t>
        </is>
      </c>
      <c r="B54" s="4" t="inlineStr">
        <is>
          <t>Impôts et taxes</t>
        </is>
      </c>
      <c r="C54" s="6">
        <f>GL_retraite!F6</f>
        <v/>
      </c>
      <c r="D54" s="6">
        <f>PnL_cible!F6</f>
        <v/>
      </c>
      <c r="E54" s="6">
        <f>C54-D54</f>
        <v/>
      </c>
      <c r="F54" s="11">
        <f>IF(D54=0,"",E54/D54)</f>
        <v/>
      </c>
    </row>
    <row r="55">
      <c r="A55" s="4" t="inlineStr">
        <is>
          <t>SARL VALPOLIS</t>
        </is>
      </c>
      <c r="B55" s="4" t="inlineStr">
        <is>
          <t>Variations nettes des amortissements et des dépréciations</t>
        </is>
      </c>
      <c r="C55" s="6">
        <f>GL_retraite!F7</f>
        <v/>
      </c>
      <c r="D55" s="6">
        <f>PnL_cible!F7</f>
        <v/>
      </c>
      <c r="E55" s="6">
        <f>C55-D55</f>
        <v/>
      </c>
      <c r="F55" s="11">
        <f>IF(D55=0,"",E55/D55)</f>
        <v/>
      </c>
    </row>
    <row r="56">
      <c r="A56" s="4" t="inlineStr">
        <is>
          <t>SARL VALPOLIS</t>
        </is>
      </c>
      <c r="B56" s="4" t="inlineStr">
        <is>
          <t>Opérations d'exploitation Intra-Groupe</t>
        </is>
      </c>
      <c r="C56" s="6">
        <f>GL_retraite!F8</f>
        <v/>
      </c>
      <c r="D56" s="6">
        <f>PnL_cible!F8</f>
        <v/>
      </c>
      <c r="E56" s="6">
        <f>C56-D56</f>
        <v/>
      </c>
      <c r="F56" s="11">
        <f>IF(D56=0,"",E56/D56)</f>
        <v/>
      </c>
    </row>
    <row r="57">
      <c r="A57" s="4" t="inlineStr">
        <is>
          <t>SARL VALPOLIS</t>
        </is>
      </c>
      <c r="B57" s="4" t="inlineStr">
        <is>
          <t>Charges et produits financiers</t>
        </is>
      </c>
      <c r="C57" s="6">
        <f>GL_retraite!F9</f>
        <v/>
      </c>
      <c r="D57" s="6">
        <f>PnL_cible!F9</f>
        <v/>
      </c>
      <c r="E57" s="6">
        <f>C57-D57</f>
        <v/>
      </c>
      <c r="F57" s="11">
        <f>IF(D57=0,"",E57/D57)</f>
        <v/>
      </c>
    </row>
    <row r="58">
      <c r="A58" s="4" t="inlineStr">
        <is>
          <t>SARL VALPOLIS</t>
        </is>
      </c>
      <c r="B58" s="4" t="inlineStr">
        <is>
          <t>Opérations financières Intra-Groupe</t>
        </is>
      </c>
      <c r="C58" s="6">
        <f>GL_retraite!F10</f>
        <v/>
      </c>
      <c r="D58" s="6">
        <f>PnL_cible!F10</f>
        <v/>
      </c>
      <c r="E58" s="6">
        <f>C58-D58</f>
        <v/>
      </c>
      <c r="F58" s="11">
        <f>IF(D58=0,"",E58/D58)</f>
        <v/>
      </c>
    </row>
    <row r="59">
      <c r="A59" s="4" t="inlineStr">
        <is>
          <t>SARL VALPOLIS</t>
        </is>
      </c>
      <c r="B59" s="4" t="inlineStr">
        <is>
          <t>Charges et produits exceptionnels</t>
        </is>
      </c>
      <c r="C59" s="6">
        <f>GL_retraite!F11</f>
        <v/>
      </c>
      <c r="D59" s="6">
        <f>PnL_cible!F11</f>
        <v/>
      </c>
      <c r="E59" s="6">
        <f>C59-D59</f>
        <v/>
      </c>
      <c r="F59" s="11">
        <f>IF(D59=0,"",E59/D59)</f>
        <v/>
      </c>
    </row>
    <row r="60">
      <c r="A60" s="4" t="inlineStr">
        <is>
          <t>SARL VALPOLIS</t>
        </is>
      </c>
      <c r="B60" s="4" t="inlineStr">
        <is>
          <t>Opérations exceptionnelles Intra-Groupe</t>
        </is>
      </c>
      <c r="C60" s="6">
        <f>GL_retraite!F12</f>
        <v/>
      </c>
      <c r="D60" s="6">
        <f>PnL_cible!F12</f>
        <v/>
      </c>
      <c r="E60" s="6">
        <f>C60-D60</f>
        <v/>
      </c>
      <c r="F60" s="11">
        <f>IF(D60=0,"",E60/D60)</f>
        <v/>
      </c>
    </row>
    <row r="61">
      <c r="A61" s="4" t="inlineStr">
        <is>
          <t>SARL VALPOLIS</t>
        </is>
      </c>
      <c r="B61" s="4" t="inlineStr">
        <is>
          <t>Impôt sur les bénéfices</t>
        </is>
      </c>
      <c r="C61" s="6">
        <f>GL_retraite!F13</f>
        <v/>
      </c>
      <c r="D61" s="6">
        <f>PnL_cible!F13</f>
        <v/>
      </c>
      <c r="E61" s="6">
        <f>C61-D61</f>
        <v/>
      </c>
      <c r="F61" s="11">
        <f>IF(D61=0,"",E61/D61)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4" customWidth="1" min="4" max="4"/>
    <col width="9" customWidth="1" min="5" max="5"/>
    <col width="70" customWidth="1" min="6" max="6"/>
  </cols>
  <sheetData>
    <row r="1">
      <c r="A1" s="3" t="inlineStr">
        <is>
          <t>Ligne P&amp;L</t>
        </is>
      </c>
      <c r="B1" s="3" t="inlineStr">
        <is>
          <t>GL recalculé</t>
        </is>
      </c>
      <c r="C1" s="3" t="inlineStr">
        <is>
          <t>P&amp;L cible</t>
        </is>
      </c>
      <c r="D1" s="3" t="inlineStr">
        <is>
          <t>Écart €</t>
        </is>
      </c>
      <c r="E1" s="3" t="inlineStr">
        <is>
          <t>Écart %</t>
        </is>
      </c>
      <c r="F1" s="3" t="inlineStr">
        <is>
          <t>Type d'écart</t>
        </is>
      </c>
    </row>
    <row r="2">
      <c r="A2" s="4" t="inlineStr">
        <is>
          <t>Achats consommés</t>
        </is>
      </c>
      <c r="B2" s="6">
        <f>GL_retraite!H2</f>
        <v/>
      </c>
      <c r="C2" s="6">
        <f>PnL_cible!G2</f>
        <v/>
      </c>
      <c r="D2" s="6">
        <f>B2-C2</f>
        <v/>
      </c>
      <c r="E2" s="11">
        <f>IF(C2=0,"",D2/C2)</f>
        <v/>
      </c>
      <c r="F2" s="4" t="inlineStr">
        <is>
          <t>DONNEES: reclassement par destination (P&amp;L inclut des achats/sous-traitance non identifiables en nature dans le GL)</t>
        </is>
      </c>
    </row>
    <row r="3">
      <c r="A3" s="4" t="inlineStr">
        <is>
          <t>Charges externes</t>
        </is>
      </c>
      <c r="B3" s="6">
        <f>GL_retraite!H3</f>
        <v/>
      </c>
      <c r="C3" s="6">
        <f>PnL_cible!G3</f>
        <v/>
      </c>
      <c r="D3" s="6">
        <f>B3-C3</f>
        <v/>
      </c>
      <c r="E3" s="11">
        <f>IF(C3=0,"",D3/C3)</f>
        <v/>
      </c>
      <c r="F3" s="4" t="inlineStr">
        <is>
          <t>DONNEES: la nature 'charges externes' du GL &gt; P&amp;L par destination (reclassements + conso)</t>
        </is>
      </c>
    </row>
    <row r="4">
      <c r="A4" s="4" t="inlineStr">
        <is>
          <t>Charges de personnel</t>
        </is>
      </c>
      <c r="B4" s="6">
        <f>GL_retraite!H4</f>
        <v/>
      </c>
      <c r="C4" s="6">
        <f>PnL_cible!G4</f>
        <v/>
      </c>
      <c r="D4" s="6">
        <f>B4-C4</f>
        <v/>
      </c>
      <c r="E4" s="11">
        <f>IF(C4=0,"",D4/C4)</f>
        <v/>
      </c>
      <c r="F4" s="4" t="inlineStr">
        <is>
          <t>MAPPING ok (incl. #N/A). Residuel = ALLIANCE/GROUPE RIVALIS (-10 534, ecart de source)</t>
        </is>
      </c>
    </row>
    <row r="5">
      <c r="A5" s="4" t="inlineStr">
        <is>
          <t>Autres charges d'exploitation</t>
        </is>
      </c>
      <c r="B5" s="6">
        <f>GL_retraite!H5</f>
        <v/>
      </c>
      <c r="C5" s="6">
        <f>PnL_cible!G5</f>
        <v/>
      </c>
      <c r="D5" s="6">
        <f>B5-C5</f>
        <v/>
      </c>
      <c r="E5" s="11">
        <f>IF(C5=0,"",D5/C5)</f>
        <v/>
      </c>
      <c r="F5" s="4" t="inlineStr">
        <is>
          <t>MAPPING ok (ecart ~0)</t>
        </is>
      </c>
    </row>
    <row r="6">
      <c r="A6" s="4" t="inlineStr">
        <is>
          <t>Impôts et taxes</t>
        </is>
      </c>
      <c r="B6" s="6">
        <f>GL_retraite!H6</f>
        <v/>
      </c>
      <c r="C6" s="6">
        <f>PnL_cible!G6</f>
        <v/>
      </c>
      <c r="D6" s="6">
        <f>B6-C6</f>
        <v/>
      </c>
      <c r="E6" s="11">
        <f>IF(C6=0,"",D6/C6)</f>
        <v/>
      </c>
      <c r="F6" s="4" t="inlineStr">
        <is>
          <t>DONNEES: perimetre/reclassement partiel</t>
        </is>
      </c>
    </row>
    <row r="7">
      <c r="A7" s="4" t="inlineStr">
        <is>
          <t>Variations nettes des amortissements et des dépréciations</t>
        </is>
      </c>
      <c r="B7" s="6">
        <f>GL_retraite!H7</f>
        <v/>
      </c>
      <c r="C7" s="6">
        <f>PnL_cible!G7</f>
        <v/>
      </c>
      <c r="D7" s="6">
        <f>B7-C7</f>
        <v/>
      </c>
      <c r="E7" s="11">
        <f>IF(C7=0,"",D7/C7)</f>
        <v/>
      </c>
      <c r="F7" s="4" t="inlineStr">
        <is>
          <t>DONNEES: dotations GL &gt; P&amp;L (retraitements de consolidation, ecarts d'acquisition)</t>
        </is>
      </c>
    </row>
    <row r="8">
      <c r="A8" s="4" t="inlineStr">
        <is>
          <t>Opérations d'exploitation Intra-Groupe</t>
        </is>
      </c>
      <c r="B8" s="6">
        <f>GL_retraite!H8</f>
        <v/>
      </c>
      <c r="C8" s="6">
        <f>PnL_cible!G8</f>
        <v/>
      </c>
      <c r="D8" s="6">
        <f>B8-C8</f>
        <v/>
      </c>
      <c r="E8" s="11">
        <f>IF(C8=0,"",D8/C8)</f>
        <v/>
      </c>
      <c r="F8" s="4" t="inlineStr">
        <is>
          <t>ELIMINATION: GL = charge intra -4 314 875; P&amp;L net a 0 (jambe produit absente du GL)</t>
        </is>
      </c>
    </row>
    <row r="9">
      <c r="A9" s="4" t="inlineStr">
        <is>
          <t>Charges et produits financiers</t>
        </is>
      </c>
      <c r="B9" s="6">
        <f>GL_retraite!H9</f>
        <v/>
      </c>
      <c r="C9" s="6">
        <f>PnL_cible!G9</f>
        <v/>
      </c>
      <c r="D9" s="6">
        <f>B9-C9</f>
        <v/>
      </c>
      <c r="E9" s="11">
        <f>IF(C9=0,"",D9/C9)</f>
        <v/>
      </c>
      <c r="F9" s="4" t="inlineStr">
        <is>
          <t>DONNEES: charges fin. GL &gt; P&amp;L (reclassement / conso)</t>
        </is>
      </c>
    </row>
    <row r="10">
      <c r="A10" s="4" t="inlineStr">
        <is>
          <t>Opérations financières Intra-Groupe</t>
        </is>
      </c>
      <c r="B10" s="6">
        <f>GL_retraite!H10</f>
        <v/>
      </c>
      <c r="C10" s="6">
        <f>PnL_cible!G10</f>
        <v/>
      </c>
      <c r="D10" s="6">
        <f>B10-C10</f>
        <v/>
      </c>
      <c r="E10" s="11">
        <f>IF(C10=0,"",D10/C10)</f>
        <v/>
      </c>
      <c r="F10" s="4" t="inlineStr">
        <is>
          <t>Pas de detail intra-groupe financier dans le GL (P&amp;L net a 0)</t>
        </is>
      </c>
    </row>
    <row r="11">
      <c r="A11" s="4" t="inlineStr">
        <is>
          <t>Charges et produits exceptionnels</t>
        </is>
      </c>
      <c r="B11" s="6">
        <f>GL_retraite!H11</f>
        <v/>
      </c>
      <c r="C11" s="6">
        <f>PnL_cible!G11</f>
        <v/>
      </c>
      <c r="D11" s="6">
        <f>B11-C11</f>
        <v/>
      </c>
      <c r="E11" s="11">
        <f>IF(C11=0,"",D11/C11)</f>
        <v/>
      </c>
      <c r="F11" s="4" t="inlineStr">
        <is>
          <t>MAPPING ok ([obsolete] rattache); faible ecart</t>
        </is>
      </c>
    </row>
    <row r="12">
      <c r="A12" s="4" t="inlineStr">
        <is>
          <t>Opérations exceptionnelles Intra-Groupe</t>
        </is>
      </c>
      <c r="B12" s="6">
        <f>GL_retraite!H12</f>
        <v/>
      </c>
      <c r="C12" s="6">
        <f>PnL_cible!G12</f>
        <v/>
      </c>
      <c r="D12" s="6">
        <f>B12-C12</f>
        <v/>
      </c>
      <c r="E12" s="11">
        <f>IF(C12=0,"",D12/C12)</f>
        <v/>
      </c>
      <c r="F12" s="4" t="inlineStr">
        <is>
          <t>Aucun poste GL (P&amp;L = 0)</t>
        </is>
      </c>
    </row>
    <row r="13">
      <c r="A13" s="4" t="inlineStr">
        <is>
          <t>Impôt sur les bénéfices</t>
        </is>
      </c>
      <c r="B13" s="6">
        <f>GL_retraite!H13</f>
        <v/>
      </c>
      <c r="C13" s="6">
        <f>PnL_cible!G13</f>
        <v/>
      </c>
      <c r="D13" s="6">
        <f>B13-C13</f>
        <v/>
      </c>
      <c r="E13" s="11">
        <f>IF(C13=0,"",D13/C13)</f>
        <v/>
      </c>
      <c r="F13" s="4" t="inlineStr">
        <is>
          <t>DONNEES: IS GL vs P&amp;L (signe/credits d'impot, retraitement)</t>
        </is>
      </c>
    </row>
    <row r="14">
      <c r="A14" s="2" t="inlineStr">
        <is>
          <t>TOTAL charges + IS</t>
        </is>
      </c>
      <c r="B14" s="7">
        <f>SUM(B2:B13)</f>
        <v/>
      </c>
      <c r="C14" s="7">
        <f>SUM(C2:C13)</f>
        <v/>
      </c>
      <c r="D14" s="7">
        <f>SUM(D2:D13)</f>
        <v/>
      </c>
    </row>
    <row r="16">
      <c r="A16" s="2" t="inlineStr">
        <is>
          <t>CONTROLES</t>
        </is>
      </c>
    </row>
    <row r="17">
      <c r="A17" t="inlineStr">
        <is>
          <t>GL retraite total 5 entites (conso)</t>
        </is>
      </c>
      <c r="B17" s="10">
        <f>B14</f>
        <v/>
      </c>
    </row>
    <row r="18">
      <c r="A18" t="inlineStr">
        <is>
          <t>KCOLD orphelin (isole, hors conso)</t>
        </is>
      </c>
      <c r="B18" s="10">
        <f>GL_retraite!G14</f>
        <v/>
      </c>
    </row>
    <row r="19">
      <c r="A19" t="inlineStr">
        <is>
          <t>P&amp;L cible total charges + IS</t>
        </is>
      </c>
      <c r="B19" s="10">
        <f>C14</f>
        <v/>
      </c>
    </row>
    <row r="20">
      <c r="A20" t="inlineStr">
        <is>
          <t>Ecart total GL vs P&amp;L</t>
        </is>
      </c>
      <c r="B20" s="12">
        <f>D14</f>
        <v/>
      </c>
    </row>
    <row r="21">
      <c r="A21" t="inlineStr">
        <is>
          <t>dont elimination intra-groupe (op. expl. intra)</t>
        </is>
      </c>
      <c r="B21" s="10">
        <f>D8</f>
        <v/>
      </c>
    </row>
    <row r="22">
      <c r="A22" t="inlineStr">
        <is>
          <t>Consolide GL annonce (CSV) - NON reconcilie</t>
        </is>
      </c>
      <c r="B22" s="13" t="n">
        <v>-6191160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9" customWidth="1" min="3" max="3"/>
    <col width="14" customWidth="1" min="4" max="4"/>
    <col width="70" customWidth="1" min="5" max="5"/>
  </cols>
  <sheetData>
    <row r="1">
      <c r="A1" s="3" t="inlineStr">
        <is>
          <t>Ligne P&amp;L (conso)</t>
        </is>
      </c>
      <c r="B1" s="3" t="inlineStr">
        <is>
          <t>Écart €</t>
        </is>
      </c>
      <c r="C1" s="3" t="inlineStr">
        <is>
          <t>Écart %</t>
        </is>
      </c>
      <c r="D1" s="3" t="inlineStr">
        <is>
          <t>Catégorie</t>
        </is>
      </c>
      <c r="E1" s="3" t="inlineStr">
        <is>
          <t>Explication</t>
        </is>
      </c>
    </row>
    <row r="2">
      <c r="A2" s="4" t="inlineStr">
        <is>
          <t>Opérations d'exploitation Intra-Groupe</t>
        </is>
      </c>
      <c r="B2" s="6" t="n">
        <v>-4314875</v>
      </c>
      <c r="C2" s="11" t="n">
        <v>0</v>
      </c>
      <c r="D2" s="5" t="inlineStr">
        <is>
          <t>ELIMINATION</t>
        </is>
      </c>
      <c r="E2" s="4" t="inlineStr">
        <is>
          <t>ELIMINATION: GL = charge intra -4 314 875; P&amp;L net a 0 (jambe produit absente du GL)</t>
        </is>
      </c>
    </row>
    <row r="3">
      <c r="A3" s="4" t="inlineStr">
        <is>
          <t>Charges externes</t>
        </is>
      </c>
      <c r="B3" s="6" t="n">
        <v>-1967146</v>
      </c>
      <c r="C3" s="11" t="n">
        <v>0.6412236782058804</v>
      </c>
      <c r="D3" s="14" t="inlineStr">
        <is>
          <t>DONNEES</t>
        </is>
      </c>
      <c r="E3" s="4" t="inlineStr">
        <is>
          <t>DONNEES: la nature 'charges externes' du GL &gt; P&amp;L par destination (reclassements + conso)</t>
        </is>
      </c>
    </row>
    <row r="4">
      <c r="A4" s="4" t="inlineStr">
        <is>
          <t>Variations nettes des amortissements et des dépréciations</t>
        </is>
      </c>
      <c r="B4" s="6" t="n">
        <v>-1679382</v>
      </c>
      <c r="C4" s="11" t="n">
        <v>1.206037577586448</v>
      </c>
      <c r="D4" s="14" t="inlineStr">
        <is>
          <t>DONNEES</t>
        </is>
      </c>
      <c r="E4" s="4" t="inlineStr">
        <is>
          <t>DONNEES: dotations GL &gt; P&amp;L (retraitements de consolidation, ecarts d'acquisition)</t>
        </is>
      </c>
    </row>
    <row r="5">
      <c r="A5" s="4" t="inlineStr">
        <is>
          <t>Achats consommés</t>
        </is>
      </c>
      <c r="B5" s="6" t="n">
        <v>331831</v>
      </c>
      <c r="C5" s="11" t="n">
        <v>-0.8661281060764251</v>
      </c>
      <c r="D5" s="14" t="inlineStr">
        <is>
          <t>DONNEES</t>
        </is>
      </c>
      <c r="E5" s="4" t="inlineStr">
        <is>
          <t>DONNEES: reclassement par destination (P&amp;L inclut des achats/sous-traitance non identifiables en nature dans le GL)</t>
        </is>
      </c>
    </row>
    <row r="6">
      <c r="A6" s="4" t="inlineStr">
        <is>
          <t>Charges et produits financiers</t>
        </is>
      </c>
      <c r="B6" s="6" t="n">
        <v>-295253</v>
      </c>
      <c r="C6" s="11" t="n">
        <v>3.732088684396805</v>
      </c>
      <c r="D6" s="14" t="inlineStr">
        <is>
          <t>DONNEES</t>
        </is>
      </c>
      <c r="E6" s="4" t="inlineStr">
        <is>
          <t>DONNEES: charges fin. GL &gt; P&amp;L (reclassement / conso)</t>
        </is>
      </c>
    </row>
    <row r="7">
      <c r="A7" s="4" t="inlineStr">
        <is>
          <t>Impôt sur les bénéfices</t>
        </is>
      </c>
      <c r="B7" s="6" t="n">
        <v>-102974</v>
      </c>
      <c r="C7" s="11" t="n">
        <v>-3.121748620626933</v>
      </c>
      <c r="D7" s="14" t="inlineStr">
        <is>
          <t>DONNEES</t>
        </is>
      </c>
      <c r="E7" s="4" t="inlineStr">
        <is>
          <t>DONNEES: IS GL vs P&amp;L (signe/credits d'impot, retraitement)</t>
        </is>
      </c>
    </row>
    <row r="8">
      <c r="A8" s="4" t="inlineStr">
        <is>
          <t>Impôts et taxes</t>
        </is>
      </c>
      <c r="B8" s="6" t="n">
        <v>31307</v>
      </c>
      <c r="C8" s="11" t="n">
        <v>-0.4171930385650702</v>
      </c>
      <c r="D8" s="14" t="inlineStr">
        <is>
          <t>DONNEES</t>
        </is>
      </c>
      <c r="E8" s="4" t="inlineStr">
        <is>
          <t>DONNEES: perimetre/reclassement partiel</t>
        </is>
      </c>
    </row>
    <row r="9">
      <c r="A9" s="4" t="inlineStr">
        <is>
          <t>Charges de personnel</t>
        </is>
      </c>
      <c r="B9" s="6" t="n">
        <v>-10533</v>
      </c>
      <c r="C9" s="11" t="n">
        <v>0.003124165791674823</v>
      </c>
      <c r="D9" s="15" t="inlineStr">
        <is>
          <t>MAPPING</t>
        </is>
      </c>
      <c r="E9" s="4" t="inlineStr">
        <is>
          <t>MAPPING ok (incl. #N/A). Residuel = ALLIANCE/GROUPE RIVALIS (-10 534, ecart de source)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2026-06-08T17:27:50Z</dcterms:created>
  <dcterms:modified xsi:type="dcterms:W3CDTF">2026-06-08T17:27:50Z</dcterms:modified>
</cp:coreProperties>
</file>